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550" windowHeight="10080"/>
  </bookViews>
  <sheets>
    <sheet name="报名明细" sheetId="1" r:id="rId1"/>
    <sheet name="展区展位" sheetId="2" r:id="rId2"/>
    <sheet name="长度要求" sheetId="3" r:id="rId3"/>
    <sheet name="企业简介提取" sheetId="4" r:id="rId4"/>
    <sheet name="岗位1" sheetId="5" r:id="rId5"/>
    <sheet name="岗位2" sheetId="6" r:id="rId6"/>
    <sheet name="岗位3" sheetId="7" r:id="rId7"/>
    <sheet name="2" sheetId="8" r:id="rId8"/>
    <sheet name="3" sheetId="9" r:id="rId9"/>
  </sheets>
  <definedNames>
    <definedName name="_xlnm._FilterDatabase" localSheetId="0" hidden="1">报名明细!$A$1:$H$363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<sst xmlns="http://schemas.openxmlformats.org/spreadsheetml/2006/main" count="4306" uniqueCount="1706">
  <si>
    <t>岗位数量</t>
  </si>
  <si>
    <t>企业名称</t>
  </si>
  <si>
    <t>企业简介</t>
  </si>
  <si>
    <t>招聘岗位</t>
  </si>
  <si>
    <t>招聘人数</t>
  </si>
  <si>
    <t>学历</t>
  </si>
  <si>
    <t>岗位职责</t>
  </si>
  <si>
    <t>薪资情况</t>
  </si>
  <si>
    <t>标题拼接</t>
  </si>
  <si>
    <t>岗位长度</t>
  </si>
  <si>
    <t>岗位长度要求</t>
  </si>
  <si>
    <t>岗位长度截取</t>
  </si>
  <si>
    <t>专业</t>
  </si>
  <si>
    <t>专业字数</t>
  </si>
  <si>
    <t>专业个数</t>
  </si>
  <si>
    <t>上海光通信有限公司</t>
  </si>
  <si>
    <t>上海光通信有限公司（英文名ShanghaiGTXSemiconductorCo.,Ltd，下称“GTX”），成立于1988年，于2022年初转型进入集成电路制造领域。</t>
  </si>
  <si>
    <t>仓储助理专员</t>
  </si>
  <si>
    <t>大专</t>
  </si>
  <si>
    <t>工作职责1)根据规程，执行公司各种物资运输安排、管理及监控；2)执行物资仓储管理，保证物资有序账目清晰。任职要求1)大专及以上学历，物流、仓储等相关专业；2)具备良好的沟通能力和团队合作精神，具备独立工作、分析和解决问题的能力，良好的中英文读写说能力。</t>
  </si>
  <si>
    <t>月薪：5K-7K</t>
  </si>
  <si>
    <t>上海新皋实业有限公司</t>
  </si>
  <si>
    <t>新皋实业成立于2013年初，总部位于上海虹桥机场毗邻的明谷科技园，公司在智能家居领域率先投入智能家居控制系统的项目研发、生产及销售。获得软件专利著作权十多项，企业获得国家商标局认证商标：《新皋》《XINGAO》《艾登堡》《ATNBO》等品牌，并推出真正适合国内外用户的智能影音系列产品。自主研发新皋XINGAO智能影院中控系统及艾登堡ATNBO家庭影院系列产品,深受行业专业人士好评。新皋实业是上海闵行区就业促进中心审核认定的大学生实习基地，常年招收在校大学生实习实践，上海闵行地区户籍大学生或闵行地区高校学生优先录取，实习享受上海市闵行区人社局补贴。</t>
  </si>
  <si>
    <t>设计，UI设计，效果图设计</t>
  </si>
  <si>
    <t>工作内容：企业设计类工作，主要内容协助领导UI设计工作。招聘条件：有相关工作经验者优先；1、熟悉办公软件操作，具备良好的文字表达能力；2、熟练UI设计软件。公司从事智能家居及智能私人影院技术研发及硬件生产，招聘在校大学生实习实践，对智能家居，私人影院设备产品感兴趣者，实习生学员公司各岗位培养。实习期间成绩优秀者，毕业学年转正为企业员工，签定劳动合同，享受企业员工一切待遇。上海新皋实业有限公司是上海闵行区人社局及财政局审核认定的大学生实习实训基地。</t>
  </si>
  <si>
    <t>日薪：80-180/天</t>
  </si>
  <si>
    <t>物联网技术助理</t>
  </si>
  <si>
    <t>初中及以下</t>
  </si>
  <si>
    <t>我司是上海市人社局批准大学生实习基地，闵行区户籍实习生可以享受政府津贴，名额有限。公司从事智能家居及智能私人影院技术研发及硬件设备调试，招聘智能家居行业相关专业的在校大学生实习实践，要求物联网技术或电子及机电专业学生，具备弱电接线动手能力，对智能家居，私人影院设备安装调试感兴趣者，实习生学员公司提供技术培训。实习期间成绩优秀者，毕业学年转正为企业员工，签定劳动合同，享受企业员工一切待遇。优秀学员企业另外增加岗位津贴。面试证件：身份证；学信网个人资料；公司地址：上海市闵行区中春路7001号（明谷科技园）B栋415。公交路线：地铁9号线中春路站（2号口）出来沿着中春路骑行（10分钟）到达明谷科技园东大门，公司在东门左边进口处。</t>
  </si>
  <si>
    <t>日薪：80-150/天</t>
  </si>
  <si>
    <t>微电子技术,微电子学与固体电子学,微电子科学与工程</t>
  </si>
  <si>
    <t>上海德辰汽车销售有限公司</t>
  </si>
  <si>
    <t>上海德辰汽车销售公司是北方一大型汽车经销商集团在上海新投资创立的一汽大众奥迪品牌4S店。超越了传统豪华汽车4S店的概念，实际具备品牌体验、车型展示、新车销售、售后服务、二手车置换等多种功能，完备的设施以及周到的服务一应俱全，体现出国际豪华品牌全球统一的服务水准。该城市展厅坐落于闵行区颛桥地区（颛兴东路1280弄3号）。地铁、轻轨均可到达，交通便捷。地址：颛兴东路1280弄3号。总占地面积11455平方米。上下共有三层，展厅面积4168平方米，销售展示分两层，有超过多个标准汽车展位，大厅设有人性化的自动扶梯；屋顶设置顶楼停车厂，日接待能力超过100台。简洁明快的建筑风格，落地玻璃和透明天窗的结合使整个展厅最大限度地充满阳光和自然气息，充分体现了人性与科技的完美结合，展现奥迪品牌的超凡卓越和豪华尊贵，修理车间面积7287平方米，共有多个汽车维修工位，技术人员有40人，分为机修、电工、钣金、喷漆区，布局合理，设备先进。突出强调“买车修车到德辰，诚信舒心更放心”的服务理念。也是每个德辰员工的座右铭。我们以完善的硬件设施、周到的人性化服务迎接您的光临。背景介绍上海德辰的股东旗下共拥有多家4S店，其中在长春、嘉兴、宁波销售一汽奥迪、一汽马自达、一汽丰田等知名品牌汽车。企业文化上海德辰奉行“务实、诚信、进取、激情、团队精神、服务意识”的企业文化；在选人、用人、育人上：以具竞争力的薪酬吸引人才、以完善的培训体系培养人才，以强烈的业绩导向、快速的晋升和广阔的发展空间开发人才。</t>
  </si>
  <si>
    <t>机电实习生</t>
  </si>
  <si>
    <t>中专/技校</t>
  </si>
  <si>
    <t>具有一定的汽车理论知识和汽车维修知识，具有较强的动手能力、语言表达能力、独立解决问题的能力、汽车工艺学习及钻研能力</t>
  </si>
  <si>
    <t>汽车检测与维修技术,新能源汽车技术,汽车运用与维修技术,汽车车身维修技术,新能源汽车运用与维修,汽车制造类,汽车服务工程,汽车维修工程教育,新能源汽车工程</t>
  </si>
  <si>
    <t>上海市黄浦区西凌第一幼儿园</t>
  </si>
  <si>
    <t>西凌第一幼儿园是一所上海市示范性幼儿园、上海市文明单位。地处黄浦区西藏南路，园内幼儿活动场地充裕，环境优美，四季绿化常青，阳光充足，是“上海市花园单位”。我园积极探索围棋与游戏融合的探索，秉持“以人为本，民主和谐，快乐发展”办园宗旨和“以棋养德、以棋怡情、以棋明理、以棋启智”的教育理念，深受幼儿与家长的喜欢。西凌第一幼儿园已成为孩子们游戏、学习、生活的乐园。</t>
  </si>
  <si>
    <t>保育员</t>
  </si>
  <si>
    <t>具有良好师德，爱孩子，有正确的儿童观具备保育专业知识与技能</t>
  </si>
  <si>
    <t>月薪：3K-5K</t>
  </si>
  <si>
    <r>
      <rPr>
        <sz val="11"/>
        <rFont val="宋体"/>
        <charset val="134"/>
      </rPr>
      <t>学前教育</t>
    </r>
    <r>
      <rPr>
        <sz val="11"/>
        <rFont val="Calibri"/>
        <charset val="134"/>
      </rPr>
      <t>,</t>
    </r>
    <r>
      <rPr>
        <sz val="11"/>
        <rFont val="宋体"/>
        <charset val="134"/>
      </rPr>
      <t>卫生教育</t>
    </r>
  </si>
  <si>
    <t>新媒体运营</t>
  </si>
  <si>
    <t>工作内容负责公司多媒体渠道（包括但不限于微信公众号、抖音、微博等）的运营管理和内容策划。通过策划和执行，提升公司多媒体渠道的曝光度和用户粘性。主要职责：1、负责公司多媒体渠道的运营管理和内容策划，包括但不限于制定并执行渠道内容计划、跟踪和优化渠道运营效果、策划并执行创意等；2、撰写、编辑、发布公司公众号多媒体内容，提升内容质量和创意，以满足用户需求和公司需求；3、根据公司业务需求，制定并执行多媒体渠道的定期更新和升级策略，提升公司多媒体品牌形象和用户黏性；4、定期汇报公司多媒体渠道运营效果，提供数据驱动的改进建议，以优化公司多媒体运营策略；5、与其他部门的沟通和协作，包括但不限于与视频拍摄团队、设计师等合作，提升公司多媒体内容质量和用户体验。招聘条件多媒体运营专业，大专及以上学历，具备较强的项目管理能力和团队协作能力；1、熟悉新媒体渠道，具有一定的内容策划和创意能力，善于分析数据驱动问题；2、具有较强的沟通协调能力，能够与不同部门进行有效沟通和协作；3、具有较强的逻辑思维能力，能够独立思考和解决问题；4、熟练掌握公司多媒体运营流程和方法，了解公司业务需求。具有视频拍摄剪辑编辑能力。熟练OFFICE和PS、PR软件。上海闵行地区户籍大学生；或上海：交大、华师大、电机学院、东海大学大专院校学生享受本地区政策补贴扶持。闵行区大学生投递简历优先录用。公司地址：上海闵行区中春路7001号明谷科技园B栋415</t>
  </si>
  <si>
    <t>技术调试普工</t>
  </si>
  <si>
    <t>工作内容负责生产电子产品组装+装配+测试等简单工作。1.通过岗位技能培训后，对电子元器件进行装配；2.对产品进行外观方面的品质检查；3.每日下班前，保持台面和工具的清洁；招聘条件：文化程度：中专及以上学历；机电电子专业、物联网专业或微电子专业；有电子产品组装能力；能手工焊接工，会使用小型电动工具设备，熟练的动手能力。身体健康、工作认真负责，吃苦耐劳。</t>
  </si>
  <si>
    <t>办公室文员(人事助理）</t>
  </si>
  <si>
    <t>工作内容：负责办公室日常运营和维护，处理各类文件及档案，负责公司会议前准备工作：负责协助部门负责人完成人事行政辅助类工作，包括但不限于来客来访接待、整理文件等；招聘条件：不限工作经验，有相关工作经验者优先；1、熟悉办公软件操作，具备良好的文字表达能力；2、具备良好的组织协调能力和团队合作意识；3、具有较强的沟通能力和抗压能力，能够适应工作中的挑战；4、有较强的责任心和事业心，</t>
  </si>
  <si>
    <t>电商运营 (电商客服)</t>
  </si>
  <si>
    <t>工作内容：1、负责店铺日常运营，包括商品上架、售后处理、物流跟踪等；日常产品标题优化、主图和详情页优化、评价维护、站内外推广、活动策划及提报等运营工作；招聘条件：具有较强的责任心和耐心，对电商领域有浓厚的兴趣和学习意愿；-熟练掌握淘宝、天猫等电商平台运营规则，了解各种推广工具的使用；-有良好的沟通能力和团队协作精神，善于与上级和同事进行有效沟通。熟练OFFICE和PS、PR软件。待遇：基本新资+提成</t>
  </si>
  <si>
    <t>上海网鱼酒店管理有限公司</t>
  </si>
  <si>
    <t>网鱼创始于1998年，从诞生之初就秉承不断创新的理念，致力于打造多人游戏空间。截至2020年12月31日，网鱼全球会员数超2000万，服务覆盖国内外106个城市。全球拥有超1000家门店，年服务人次超3000万，iG战队倾情代言，是深受全球玩家喜爱的聚玩圣地。2021年推出“网鱼电竞酒店”，正式进军电竞酒店行业，打造跨品类、跨业态、跨平台的综合娱乐型品牌，践行“给用户美好的体验”。</t>
  </si>
  <si>
    <t>门店管培生</t>
  </si>
  <si>
    <t>公司简介：网鱼创始于1998年，起源于上海松江，2015年获得上海市著名商标荣誉称号。作为国内电竞连锁的代表，从诞生之初就秉承不断创新的理念，致力于全球第一电竞社区的打造，为全球电竞玩家提供优质的电竞休闲娱乐服务。截至2021年12月31日，网鱼全球会员数超2000万，服务覆盖国内外82个城市，在美国、英国、加拿大、澳大利亚、新加坡等多个国家开设门店，全球拥有900多家门店，年服务人次超4000万。2021年，网鱼品牌创新升级为“网鱼电竞”，打造游戏玩家的电竞基地；探索多业态，推出“网鱼电竞酒店”，正式进军电竞酒店行业，打造跨品类、跨业态、跨平台的综合娱乐型品牌，践行“给用户美好的体验”。截至2023年12月，网鱼电竞酒店覆盖全国26个主要城市，在营门店数量超过200家。岗位介绍门店管培生（储备店长）：50名工作地点：全国（全国1700家门店，可根据意向城市分配工作城市）。工作职责:1、经营管理：从基层店员历练开始，协助酒店店长进行门店的运营管理，管理门店资产设备、现金、账务，薪资录入，奖金核算；2、学习管理：跟随导师学习门店人员的岗位落实及日常管理；3、品质管理：保证门店卫生品质，逐步掌握处理店铺突发事件；4、参与店铺全岗位知识学习，按照计划参与岗位晋升培训，稳步晋升协助店长管理店面日常及销售管理工作，达成店面销售目标；要求：1、大专学历，2025年或2026年毕业；2、专业不限，连锁经营管理、经管专业等优先，其他专业优秀同学也可；3、仪容仪表端正，良好的沟通表达能力，思路清晰，适应能力强。各阶段岗位薪酬：1、综合月薪：入职后的前4个月4000-5000元左右，第5个月-7个月5000-6000元左右，第8个月晋升店长后，月薪8000元及以上（不同城市薪资略有差异）2、福利：包住宿</t>
  </si>
  <si>
    <t>月薪：5K-10K</t>
  </si>
  <si>
    <t>客户经理</t>
  </si>
  <si>
    <t>职责：1、导座服务：①严格执行门店导座SOP标准，提升顾客满意度；②主动观察顾客消费习惯，提供个性化服务；③工作时间需着JK制服，并保持整洁得体的妆容及精神面貌；2、抖音直播：①每日在门店非上客高峰期，使用门店抖音账号，完成2小时直播；②负责直播间的秩序维护和用户互动，积极解答用户问题；③发掘直播间内意向用户，吸引用户到店，提升门店新会员数量；④每日24点前，完成一条抖音视频发布。3、会员运营：①完成企业微信社群搭建、成员邀请及日常维护；②每日回访新客，定期收集top100顾客反馈建议；③每日邀请老顾客到店上网，并为顾客线上订座；4、线上平台维护：①每周按照店长要求，完成高德/百度/腾讯地图/美团平台的优质好评数。②100%邀请团购用户消费后评价。要求：1、性别：女2、年龄：18-24周岁3、学历：大专及以上学历4、形象：身高160CM以上，形象气质佳5、性格特质：活泼开朗，有服务意识，擅沟通喜交流6、经验能力：会端游、有直播或者游戏教练经验者优先薪资待遇1、薪资：月薪5000+；2、福利：每月免费上网时长60小时，免费饮品10杯，简餐半价券42张，其他福利均同门店其他员工；3、销售提成另计，包含但不限于鱼乐卡销售提成</t>
  </si>
  <si>
    <t>珍岛信息技术（上海）股份有限公司</t>
  </si>
  <si>
    <t>珍岛信息技术（上海）股份有限公司（简称珍岛集团，股票代码02556.HK）是中国最大的营销及销售SaaS公司，也是最早推出T-force营销领域大模型的公司，最早推出AI-Agentforce中台的公司，聚焦数字化与智能化，基于人工智能、大数据技术，是专注数字化智能营销的SaaS服务提供商，于2024年在香港上市。</t>
  </si>
  <si>
    <t>校企合作经理</t>
  </si>
  <si>
    <t>岗位职责：1、负责面向全国本科、高职、中职、技师院校进行数字营销实训软件的销售工作；2、制定区域销售计划并保障计划有效完成，进行系统化成本风控；3、完成区域业务团队组建、培养和绩效管理；4、建立院校业务多元化合作伙伴架构和体系。任职要求：1、不限专业，金融、网络营销、电子商务为佳；2、做事严谨细致，有耐心，有责任心，具有优秀的表达能力与团队协作能力3、具备良好的学习力、承压能力及高度责任心。4、能接受出差</t>
  </si>
  <si>
    <t>月薪：6K-9K</t>
  </si>
  <si>
    <t>宁波革力物流有限公司上海分公司</t>
  </si>
  <si>
    <t>革力物流有限公司总部设在上海,并在深圳,广州,佛山,中山,以及宁波设有分公司,在华北地区也有较好的代理网络。公司网址为：www.gclchina.net公司的代理网络覆盖100多个国家,优势航线为欧洲,地中海,中东印巴,以及澳洲新西兰和东南亚国家除基本海运空运以外，公司还致力于发展进出口代理、清关、仓储、供应链管理等多元化主体化的国际物流服务。主要合作船公司有:MAERSK、APL、EVERGREEN、NORASIA、PIL、HAPAGLIOYD、MSC、COSCO、CSCL、CMA、WANHAI、YANGMING、OOCL；主要合作的航空公司有联邦快递、联合包裹、美国航空、新加坡航空、加拿大航空、新西兰航空、马来西亚航空、以色列航空、法国航空、德国汉莎、奥地利航空、英航、国泰、阿联酋航空等。我们诚邀你的加入，让我们共同致力于打造美好的明天！我们公司全体员工满怀信心，愿以一流的服务、良好的信誉面向世界，竭诚希望与世界各国、全国各地的代理和货主建立良好的合作关系！</t>
  </si>
  <si>
    <t>会计助理（实习生）</t>
  </si>
  <si>
    <t>开票基础凭证录入及时完成领导交办的其他事项岗位要求：会计或财务相关专业工作认真、仔细、负责欢迎应届毕业生</t>
  </si>
  <si>
    <t>日薪：120-150/天</t>
  </si>
  <si>
    <t>良率提升助理技术员</t>
  </si>
  <si>
    <t>岗位描述：1）负责支持在线缺陷监控，处理产线检测的产品、设备，保证产品正常生产，设备正常运行。2）负责监控并处理检测及复检机台的异常运行状况，保证机台正常运行。3）协同工程师进行缺陷改善，建立合格的检测程式和复检程式，发现并通知产生缺陷的制程，减少缺陷的影响范围。4）负责简单的缺陷切片制样，跟进切片结果。任职要求：1）大专及以上学历，专业不限。2）具备良好的沟通能力，具备团队意识。3）倒班工作模式，接受无尘室工作环境。</t>
  </si>
  <si>
    <t>月薪：6K-8K</t>
  </si>
  <si>
    <t>实验室技术员</t>
  </si>
  <si>
    <t>岗位描述：1）按照规程和作业指导书，执行失效分析实验室/可靠性实验室/化学实验室内相关仪器的操作并按照求完成具体失效分析工作。2）按照规程和作业指导书，执行失效分析实验室/可靠性实验室/化学实验室的日常点检，协助处理机台的日常维护工作。任职要求：1）大专以上学历，理工科相关专业。2）接受倒班工作模式，接受无尘室工作环境。3）具备良好的沟通能力和团队合作精神，具备独立工作、分析和解决问题的能力，良好的中英文读写说能力。</t>
  </si>
  <si>
    <t>上海地矿物业管理有限公司</t>
  </si>
  <si>
    <t>上海地矿物业管理有限公司隶属于上市市规划和自然资源局。上海地矿物业管理有限公司城市规划展示馆项目。上海城市规划展示馆市国内售价以展示城市规划与发展为主题专业性场馆。</t>
  </si>
  <si>
    <t>展区管理员</t>
  </si>
  <si>
    <t>要求：（1）五官端正、形象气质号，女性165cm，男性175cm以上，年龄30岁以下。（2）语言表达能力强、善于沟通。普通话水平二级乙等以上或具备同等水平。（3）有较强的组织协调能力，团队协作能力，反应敏捷、能妥善处理游客的突发状况，且具备熟练的电脑操作知识。（4）具有一定的英语口语能力，能与外宾简单交流。薪资待遇：5000-6000元/月其他福利：早中餐、高温费、年终奖、大礼包等实习生3000元+500元全勤奖，国企，提供完善的培训，实习表现优秀者毕业后优先录用。录用后缴纳四金，提供年终奖、高温费、大礼包，详情面谈。</t>
  </si>
  <si>
    <t>月薪：5K-6K</t>
  </si>
  <si>
    <t>上海点晴信息科技有限公司</t>
  </si>
  <si>
    <t>上海点晴信息科技有限公司(ALCHEMYInformationtech-nologyCo.,Ltd)成立于2013年，是一家集独立游戏开发、高品质游戏美术制作服务及游戏美术赛事运营为一体的移动互联网公司。获高新技术企业，专精特新企业、科技小巨人企业、徐汇区企业技术中心、上海市设计创新中心等荣誉。作为腾讯，网易，育碧，米哈游，拳头，电魂，英雄互娱等知名研发公司的核心供应商，点晴参与制作了刺客信条、王者荣耀、原神、绝地求生、阴阳师、第五人格、狐妖小红娘、蛋仔派对等国内外各类型最前沿的主流游戏，致力于为全球市场提供自主研发的高品质游戏娱乐产品。公司旗下教育品牌【第九联盟】专注于CG行业人才储备及校企产学研项目;【GGAC数字艺术平台】集CG领域作品发布及赛事运营于一体。</t>
  </si>
  <si>
    <t>3D模型师/3D建模师</t>
  </si>
  <si>
    <t>负责制作游戏内相关道具场景的建模，熟练使用3Dmax，ps，maya，zb等软件，熟悉次世代制作流程者优先。</t>
  </si>
  <si>
    <t>月薪：5K-8K</t>
  </si>
  <si>
    <t>上海汇珏科技集团股份有限公司</t>
  </si>
  <si>
    <t>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高新技术企业”、“服务型制造示范”、“国家知识产权优势企业”、“上海专利示范企业”、“上海市企业技术中心”、“上海市著名商标”、“上海名牌产品”等众多荣誉。经过20多年的发展创新，产品及服务覆盖智慧ICT网络解决方案、数据中心解决方案、智慧能源解决方案、智慧移动通信解决方案、智慧建筑一体化解决方案、智慧城市一站式服务六大方向，产品广泛应用于通信、电力、新能源、交通、建筑、医疗等多个行业，实现了产品的多元化创新和商务模式向服务型制造升级。企业竞争力和市场地位不断提升，其中最新研发的智慧能源解决方案已应用市政、交通、教育、运营商等国内外多个行业，同时在国际市场中崭露锋芒。公司发展历程：2002-2004公司成立，引进先进技术；2005-2006办公厂房落成，公司商标注册；2007-2010开发“光进铜退室外机柜”，中标中国电信；2011-2012“PLC分路器”开发成功，中标三大运营商，新建生产基地；2013-2014投建江苏100亩光器件产业园，成立汇珏智能软件公司，开发网优软件产品，填补国内空白，签约中国电信；2015-2016集团信息化平台应用提升专业化管理。产品智能化升级，研发IODN等产品，推动智能化制造，连续中标国内三大运营商。公司秉承“汇当凌珏顶，一览众山小”的企业精神，先后获得上海市“高新技术企业”，“上海市著名商标”，“科技小巨人企业（培育）”，“专精特新企业”，“创新型企业”，等荣誉，多个产品获得了“上海市高新技术成果转化项目”。</t>
  </si>
  <si>
    <t>外贸业务助理</t>
  </si>
  <si>
    <t>1.英语大学四级及以上，书面英语读写无障碍，口语交流流利。2.优秀的沟通表达能力与亲和力，有出色的组织协调能力与执行力。3.工作积极主动、认真负责，责任心强。4.善于组织策划活动，有服务意识。5.持有有效驾照，驾驶技术熟练者优先。(因工作经常会涉及到海外客户接待需求)。</t>
  </si>
  <si>
    <t>国际经济与贸易,国际贸易学,贸易经济</t>
  </si>
  <si>
    <t>上海世博中心有限公司</t>
  </si>
  <si>
    <t>上海世博中心，作为上海市机关事务管理局下属国有企业，同样具备了举办展览、会议、活动以及房屋租赁的功能，与上展中心在浦江两岸形成东西呼应的两座上海标志性建筑。上海世博中心以成为世界级的会议中心为目标。世博会期间，其承担了庆典、交流、贵宾接待、新闻发布和指挥运营等重要任务。世博会后，已转型成为大型高规格国际会议的重要场所，一方面承担政务服务功能，成为上海市“两会”及其他政务性会议的重要举办场所；另一方面还要承载社会功能，对市场和社会开放，以其会议、展览、活动（宴会）等专业功能形成核心竞争力，充分展示上海国际大都会形象，提升上海城市的综合竞争力。</t>
  </si>
  <si>
    <t>会展接待服务</t>
  </si>
  <si>
    <t>1.女：身高1.65米以上，专业不限；2.品貌端正、无纹身、对工作有责任心，能吃苦耐劳；3.按照客户要求布置好会场，做好会前的准备工作；4.做好会中接待工作，确保会议有序进行；5.本岗位可招收实习生；6.完成上级安排的其他工作。</t>
  </si>
  <si>
    <t>月薪：5K-9K</t>
  </si>
  <si>
    <t>上海万厦建筑装饰加固工程有限公司</t>
  </si>
  <si>
    <t>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公司自上世纪九十年代至今已先后设计和施工了影剧院、演剧场、文化馆等几百项文化设施项目及公共商业设施项目，取得了良好的社会信誉和业主好评。</t>
  </si>
  <si>
    <t>软件开发设计师</t>
  </si>
  <si>
    <t>技术基础：掌握前端基础技术，包括HTML/CSS/JavaScript，了解ES6及以上语法；熟悉或初步了解小程序开发技术栈（WXML/WXSS），有使用微信开发者工具的基础经验；了解Vue、React等前端框架，或Python、Java等任一后端语言者优先。3.工具与能力：能使用微信开发者工具完成简单代码编写、调试与预览；具备基础的逻辑思维和问题排查能力，能理解简单业务需求并配合完成代码辅助工作；会使用Git等版本控制工具（如GitHub、GitLab）者加分。</t>
  </si>
  <si>
    <t>日薪：150-200/天</t>
  </si>
  <si>
    <t>装饰设计</t>
  </si>
  <si>
    <t>软件技能：熟练使用CAD（绘制平面图、施工图）、SketchUp（基础建模），掌握3DMax/Blender（建模）、Photoshop（效果图后期）者优先。具备基础的空间布局、色彩搭配审美；了解常见装饰材料（如板材、涂料）、施工工艺基础知识者。</t>
  </si>
  <si>
    <t>上海云众名远信息技术有限公司</t>
  </si>
  <si>
    <t>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业提供数字化营销管理专属解决方案，助力企业获客提效。</t>
  </si>
  <si>
    <t>广告运营专员</t>
  </si>
  <si>
    <t>岗位职责：1、与客户沟通，及时了解客户需求和广告投放计划；2、根据客户产品制定投放策略，指导客户有效执行；3、对广告投放进行效果监控，及时反馈，并定期制定数据分析报告；4、跟进续费事宜，维护客户关系，确保客户长期合作；5、定期拜访客户，了解需求和效果，以便做账户优化和调整。任职要求：1、专业不限，积极主动，执行力强，踏实稳定，有强烈责任心和沟通能力；2、能熟练运用excel、PPT等办公软件；3、实习生可免费提供住宿，可转正。</t>
  </si>
  <si>
    <t>月薪：4K-6K</t>
  </si>
  <si>
    <t>上海三客友文化传播有限公司</t>
  </si>
  <si>
    <t>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等。现由于公司业务扩张，望有意向的同行业有志青年及对广告会展行业有兴趣的小伙伴加入团队。</t>
  </si>
  <si>
    <t>会展项目执行及管理</t>
  </si>
  <si>
    <t>1.项目策划与执行：参与展会项目的策划，包括但不限于确定展会主题、制定展会流程、安排展会时间表等，确保项目从策划到执行的顺利进行。2.沟通协调：与各部门、参展商、供应商等建立有效的沟通机制，确保信息的准确传达和项目的顺利推进。3.现场管理：在展会期间，负责现场的协调与管理工作，确保展会现场的秩序和安全。4.数据分析与报告：收集展会相关数据，进行分析并撰写报告，为公司的决策提供有力支持。岗位要求：展会现场执行、并辅助项目经理做好向下内部管理工作，例如：各类人员招募、礼品物料整理、了解基础搭建及制作知识，简单制作统计表等；具有一定的社交能力。</t>
  </si>
  <si>
    <t>上海明华智慧城市运营管理有限公司</t>
  </si>
  <si>
    <t>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在公众物业管理领域，明华在上海乃至国内外具有影响力的主要项目如下：公众展览场馆——中华艺术宫、上海科技馆、上海自然博物馆、上海历史博物馆等公众演艺场馆——上海交响乐团、上海京剧院乐团、上海京剧院传习馆等公众体育场馆——上海网球中心公众交通枢纽——磁浮列车龙阳路站公众绿地公园——上海辰山植物园、上海动物园金融园区——中国人寿保险数据中心大学校园——上海交通大学、华东理工大学闵行校区高端写字楼——航汇大厦</t>
  </si>
  <si>
    <t>展馆管理</t>
  </si>
  <si>
    <t>岗位职责1.学习了解场馆内容主题，整理讲解词，向游客进行解说工作；2.负责场馆内指引接待工作，维护参观秩序；3.协助做好团队的其他工作。任职资格1.有亲和力，形象气质佳；2.有较强的语言表达能力，普通话标准；3.熟练掌握办公软件操作能力。</t>
  </si>
  <si>
    <t>月薪：4K-5K</t>
  </si>
  <si>
    <t>予童家庭服务（上海）有限公司</t>
  </si>
  <si>
    <t>予童家庭服务（BabyNanny），以“重塑美好育儿生态”为使命，专注为高净值家庭提供育婴照护、婴儿早教、孩童陪伴等服务。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暖手、宝妈的得力助手、家庭的坚实帮手。</t>
  </si>
  <si>
    <t>家庭育婴师</t>
  </si>
  <si>
    <t>一、工作地点上海全市二、岗位职责-全面负责新生儿的生活照料，涵盖喂养、洗澡、抚触、更换尿布等环节，保障宝宝的清洁与舒适。-密切留意宝宝的生长发育状况，诸如身高、体重、睡眠、大小便等方面，一旦察觉异常立即向家长或医生反馈。-依据宝宝的年龄及发展阶段，精心制定科学合理的喂养计划与作息时间表，悉心培养宝宝良好的生活习惯。-开展早期教育与启蒙工作，借助游戏、互动等多种方式，推动宝宝的认知、语言、运动以及社交能力的发展。-承担宝宝衣物、用品的清洗与消毒工作，确保宝宝生活环境的整洁与卫生。-与家长保持高效且良好的沟通，深入了解家长的需求与关注重点，给予专业的育婴建议和指导。-协助家长妥善处理宝宝的其他相关事务，像就医、接种疫苗等。三、任职要求需要会做饭。持有专业的育婴师资格证书，例如育婴员职业资格证书等优先。具有早教中心、托育园、幼儿园实习经验者优先。对婴幼儿事业充满热爱，拥有爱心、耐心和责任心，具备良好的职业道德和素养。具备出色的沟通能力和团队协作精神，能够与家长及其他工作人员构建起良好的关系。身体健康，拥有良好的心理素质和抗压能力。具有一定的学习和创新能力，能够持续更新育婴知识和技能。</t>
  </si>
  <si>
    <t>护理,学前教育,助产</t>
  </si>
  <si>
    <t>行政助理</t>
  </si>
  <si>
    <t>岗位职责在带教人指导下，协助完成日常行政事务、文档处理、信息整理及基础沟通协调工作，同时熟悉办公流程与职场规范，提升基础办公技能。1.文档处理与资料管理-协助进行文档的录入、排版、打印、复印与装订，确保文档格式规范、内容准确。-参与资料的整理与归档，2.日常行政事务协助-负责办公区域的基础后勤支持，如整理办公环境、补充办公用品（笔、纸、打印机耗材等）、登记领用情况。-协助接待来访人员，做好引导、登记，通知相关同事对接；3.信息整理与数据统计-协助收集、整理各类基础信息，按照要求进行简单的分类与汇总。-及时更新基础信息台账，保证信息的时效性。4.沟通协调与事务跟进-协助在部门内部或跨部门间传递文件、传达简单通知，确保信息传递及时。-跟进简单事务的进展（如待办事项、任务反馈等），并向带教人或上级汇报进度。任职资格1.仔细认真，沟通协调能力较强；2.办公软件熟练；3.有意向在物业行业长期发展者优先。</t>
  </si>
  <si>
    <t>中国电信股份有限公司上海莘闵电信局</t>
  </si>
  <si>
    <t>中国电信股份有限公司上海莘闵电信局坐落于闵行区莘东路199号，简称莘闵电信局。前身为上海市电话局莘闵区局。2000年7月1日，中国电信集团上海市电信公司成立后，更名为上海市电信公司莘闵电信局；2008年3月，更名为中国电信股份有限公司上海莘闵电信局。中国电信股份有限公司上海莘闵电信局提供固定电话、移动通信、宽带互联网接入、互联网电视、卫星通信、信息化应用等泛在网络和综合智能信息服务能力，服务闵行区内各类客户，始终保持区域内通信市场的领先地位。莘闵电信局以党的建设统领企业发展全局，以改革创新为动力，加快推进"网络智能化、业务生态化和运营智慧化"，积极构建"五大业务"生态圈，努力做领先的综合智能信息服务运营商,为闵行区经济发展和网络强国建设做出更大贡献，助推闵行区信息化及经济高速增长。</t>
  </si>
  <si>
    <t>门店经理见习生</t>
  </si>
  <si>
    <t>电信门店的整体运营与业绩达成，核心涵盖经营指标、团队管理、客户服务、营销与渠道协同、合规与风险控制等关键模块。</t>
  </si>
  <si>
    <t>上海樱帆望文化传媒有限公司</t>
  </si>
  <si>
    <t>樱帆电竞成立于2015年8月，以电竞赛事组织策划执行和直转播节目制作为业务核心。赛事组织板块已经完成过2018年雅加达亚运会、2018-2019年WESG全球总决赛、2019-2024OPL职业联赛等各类国内外高级别比赛的赛事组织工作，时至今日樱帆电竞已经完成超过500个游戏项目赛事组织执行工作。2021年公司成立直转播节目制作业务板块，完成了征途全民争霸赛总决赛暨年终盛典、三届永劫无间高校总决赛、剑网3竞技群英赛、DCDC冠军联赛、实况足球世总赛、影之诗联赛、漫威争锋冠军杯、SCS年度总决赛、蛋仔派对高校总决赛、剑网3竞技大师赛等在内的上百个大型项目的直转播节目制作工作。目前在上海拥有包括1个制播中心及5套演播棚在内的1500平专业节目制播场地以及一个技术中心、一个创意中心，专业服务于各类电竞赛事及泛娱乐节目制作。</t>
  </si>
  <si>
    <t>电竞赛事直转播播控岗位实习生</t>
  </si>
  <si>
    <t>一、职位概述参与电竞赛事直转播工作，协助专业团队确保赛事直播的顺利进行。二、主要职责1.直播协助●深度参与电竞赛事直转播过程中的播控操作工作，包括但不限于设备的开启与关闭、信号切换、画面调整等。●密切监控直播信号，及时发现并反馈直播中的异常情况，确保直播质量。2.学习提升●学习电竞赛事直转播的流程和技术，熟悉各类播控设备的使用。●参加内部培训，提升专业技能和对电竞行业的认知。3.资料整理●整理电竞赛事直转播相关的技术资料和数据记录。●协助撰写简单的直播报告。4.播控任务●完成上级交办的其他与电竞赛事直转播播控相关的工作。内容包含但不限于导播切台、VCR、字幕机等。三、任职要求1.专业背景●传媒、广播电视、数字媒体技术、电子竞技等相关专业优先。2.技能要求●具备一定的计算机操作能力，熟悉常用办公软件。●对电竞有浓厚兴趣，了解电竞赛事直播特点，需要有一定的相关经验(社团、兼职等均可)。3.态度品质●工作认真负责，细心耐心，有较强的学习能力和团队合作精神。4.学历要求●大专以上学历，26届27届毕业生优先。</t>
  </si>
  <si>
    <t>广播电视学,广播电视,广播影视节目制作,广播电视编导</t>
  </si>
  <si>
    <t>电竞赛事实习导演</t>
  </si>
  <si>
    <t>岗位概述：作为公司导演及创意方向的核心管培生，你将参与到行业细分领域最头部的各项电竞赛事及内容节目的全流程导演工作中。我们希望你具备自主学习、钻研创新、吃苦耐劳的优秀品质和能力，对游戏和电竞内容抱有浓厚兴趣与较高审美。公司会针对管培安排包含培训、考核、轮岗等多样化的培养计划，并对表现优秀者优先招聘录用。一、岗位职责：1.【创意策划】：协助总导演对接产品相关的线上线下活动的前期创意策划，能够根据客户的需求，协助分析赛事或活动举办的底层逻辑；2.【筹备推进】：根据策划方案，协助总导演深化产出流程RD、视觉包装设计等创意落地方案，协助并确保各项产出匹配预期规划，保证项目顺利完成；3.【沟通协作】：协助总导演做好内外部的沟通管理与协调工作。在跨部门协作中，能够帮助总导演做到及时高效精准的信息沟通，保持各部门之间良好持久的协作关系，有效帮助工作推进。熟练掌握英/日/韩等外语书面及口语沟通能力者加分；4.【落地执行】：赛事/活动执行的彩排与直播期间，协助总导演完成现场的执行导演工作；5【复盘总结】：协助总导演对完成项目进行总结复盘，系统化整理与分享经验。二、任职要求:1.大专及以上学历，影视编导、新闻传播、电竞赛事等相关专业优先；2.热爱电子竞技，了解电竞产业，对某一类游戏产品及主流电竞赛事有较深理解，游戏高段位或游戏高时长将为加分项；3.具有较好的时间管理及多任务规划能力，拥有敏锐的洞察力能对市场和客户做出一定判断；4.思维活跃、创意十足、善于表达、逻辑思考能力强、有较好的审美及文案能力，抗压性好，具备平面三维设计、视频后期剪辑能力，熟练AI工具使用者优先；5.实习期间将重点参与格斗类赛道最头部产品的全球顶级赛事筹备和全流程制作。</t>
  </si>
  <si>
    <t>影视编导,新闻传播学类,新闻与传播,新闻传播学</t>
  </si>
  <si>
    <t>装维见习生</t>
  </si>
  <si>
    <t>电信宽带、固定电话、IPTV等电信业务的安装与故障维修，同时承担客户沟通与网络简单维护任务。</t>
  </si>
  <si>
    <t>电竞赛事执行</t>
  </si>
  <si>
    <t>一、游戏硬性要求：包括但不限于以下两款游戏，可接受入职之后再熟悉拳皇KOF全系列【1、拳皇KOF全系列（97-15均可），街霸6，铁拳等游戏，以上游戏单产品游戏时长50小时以上】【2、瓦罗兰特，游戏段位要求达到超凡】二、岗位要求：1、有拳皇系列&amp;街霸6等格斗游戏经验的优先；2、有国内城市办赛经验者优先；3、熟练excel、word、PPT等日常办公软件；4、熟悉市场主流游戏的游戏机制和赛事规则；5、具有一定沟通、抗压能力，擅长对接及协助工作；三、任职要求1.专业背景●传媒、广播电视、数字媒体技术、电子竞技等相关专业优先。2.技能要求●具备一定的计算机操作能力，熟悉常用办公软件。●对电竞有浓厚兴趣，了解电竞赛事直播特点。3.态度品质●工作认真负责，细心耐心，有较强的学习能力和团队合作精神。4.学历要求●大专以上学历，26届27届毕业生优先。小贴士：公司比较看重岗位匹配度，同时也致力于挖掘每一位求职者的潜在能力，让大家能在最适合的岗位上发光发热。</t>
  </si>
  <si>
    <t>体育学类,广播影视节目制作,文化服务类,广告学</t>
  </si>
  <si>
    <t>制片助理</t>
  </si>
  <si>
    <t>任职要求​1、专业不限，对影视、广告等行业的制片工作有兴趣者优先；​2、具备清晰的逻辑思维能力，能够有条理地处理多项事务；​3、做事缜密细致，注重细节，有较强的责任心和执行力；​4、具备良好的沟通表达能力，能与团队成员及外部供应商有效协作；​5、熟练使用办公软件（如Word、Excel等），有一定的数据整理能力。岗位职责​1、制片事务执行：协助制片完成项目中与“吃喝住行”相关的各项预定及执行工作，包括但不限于预订拍摄期间的餐饮、住宿、交通等，确保各项安排准确无误，保障项目顺利推进。​2、验收与记录：负责对项目所需物资、服务等进行验收，并按要求进行拍照记录，确保相关资料的完整性和准确性，为后续工作提供可靠依据。​3、辅助结案制作：在项目结案阶段，积极配合团队完成相关资料的整理、汇总等辅助工作，助力顺利产出制作成果。​4、供应商沟通：与各类供应商保持良好沟通，及时传达需求、反馈问题，协调解决合作过程中的相关事宜，维护稳定的合作关系。​5、报销收集整理：负责收集项目相关的各类报销凭证，按照公司规定进行整理、核对，确保报销信息准确、完整。</t>
  </si>
  <si>
    <t>竞赛组织,新闻与传播,项目管理,文化服务类,广播影视类,广播影视节目制作,广告策划与营销</t>
  </si>
  <si>
    <t>上海羊鑫布艺有限公司</t>
  </si>
  <si>
    <t>上海羊鑫布艺有限公司是海派旗袍与新中式文化创新的时尚企业作为上海海派旗袍文化促进会副会长单位,公司以"致知青花"系列为代表,融合传统制衣工艺与现代设计,打造独具东方韵味的高级定制服饰。产品屡获长三角旗袍设计大赛银奖等殊荣,创始人杨玉娟女士获“东方时尚工匠”称号。公司通过时尚闪秀、文化展览等多元化形式,致力于传承和发展海派旗袍文化,推动传统服饰艺术的现代表达与创新发展。</t>
  </si>
  <si>
    <t>打样纸板师</t>
  </si>
  <si>
    <t>【岗位职责】负责服装款式的打板与制版工作：根据设计师提供的效果图、设计稿或样衣，精准制作纸样（含裁剪版、工艺版），确保版型符合设计风格与人体工学。样衣跟进与调整：配合样衣车间完成首件样衣制作，参与样衣试穿评审，根据试穿反馈（如尺寸偏差、版型舒适度）优化纸样，直至样衣合格。工艺文件输出：整理打板数据，制定详细的制版工艺说明（如缝份、缩率、面料特性适配方案），为生产车间提供清晰的技术指导。版型库管理：建立并维护公司版型数据库，分类归档不同款式、尺码的纸样文件，便于后续款式复用与优化。跨部门协作：与设计师、采购部（确认面料特性）、生产部（解决生产中的版型问题）高效配合，确保打板-制版-生产流程顺畅。【任职要求】学历与经验：中专及以上学历，服装相关专业（如服装工程、服装设计），1-3年及以上服装打板/制版经验（应届生可投递助理岗，需熟悉基础打板逻辑）。核心技能：熟练掌握手工打板技巧，能独立完成从净版到毛版的制作；精通制版软件（如富怡、ET、格柏Gerber等），可高效进行数字化制版与纸样修改；了解不同面料特性（如棉、丝、针织、弹力面料）对版型的影响，能针对性调整打板方案；熟悉服装号型标准（如GB/T1335、欧码、美码等），可根据目标市场适配尺码版型。能力素质：细节敏感度强，能精准把控版型尺寸误差（如±0.5cm内）；沟通能力佳，能清晰理解设计需求并反馈技术可行性；有责任心，能按时完成打板任务，配合紧急款式的开发需求</t>
  </si>
  <si>
    <t>上海天安轴承有限公司</t>
  </si>
  <si>
    <t>上海天安轴承有限公司为上海电气集团旗下上海集优机械有限公司的全资企业，位于上海市闵行区莘庄工业园区银都路4399号，具有60多年的生产历史。公司专业生产具有高精度、高转速、高灵敏度、低噪音、长寿命的微型轴承，并对轴承产品进行技术开发和产品售后服务。产品广泛运用于航空航天、工业装备、汽车医疗等行业，性能达到国际领先水平。近几年公司大力支持国家航天事业，已为“天宫一号”、“神舟五号”、“神州六号”、“神舟七号”、“神州八号”和“绕月探测工程”成功配套，获得了国家有关部门的多次嘉奖。</t>
  </si>
  <si>
    <t>数控操作</t>
  </si>
  <si>
    <t>1、按作业指导书及设备操作规程，正确操作和保养数控机床2、对数控机床进行加工编程、线切割3、做好加工零件的自查，确保加工产品合格率</t>
  </si>
  <si>
    <t>上海特金信息科技有限公司</t>
  </si>
  <si>
    <t>上海特金创立于2003年，是国家级高新技术企业、国家级专精特新“小巨人”企业、上海市“专精特新”企业，20余年深耕无线电感知和频谱大数据分析技术，致力于提供可信赖的低空安全管控解决方案，在无人机预案、预警、识别、定位、追踪及处置方面处于业界领军地位，是国内将TDOA网格化无人机管控技术进行产品化和大规模商用的发起者。特金拥有一百多项核心知识产权，深度参与国标、行标、团标的标准制定，荣获国际电联ITUTelecomWorld全球最佳创新奖。特金无人机探测定位管制系统服务于建党百周年庆及70周年国庆首都核心区，杭州亚运会、成都大运会、央视春晚等大型活动低空安全保障，被誉为“低空防御专家，家国和平卫士”。</t>
  </si>
  <si>
    <t>助理产品工程师</t>
  </si>
  <si>
    <t>岗位职责：1、通过相关培训能够快速适应生产作业，保证每个产品都是按照工艺要求生产；2、经过培训严格按照工艺要求熟练掌握产品组装、调试、测试；3、严格执行上级领导指派的工作任务；4、严格执行生产安全管理制度；5、遵守6S现场规章制度，保持生产线标准化工作环境；6、负责日常设备问题排查维修并输出维修报告。任职资格：1、机械，机电，电子，电气，通讯，无线电专业等工学专业；2、要求大专学历，应届毕业生或实习生；3、掌握基础电路、机械、钳工专业知识，会简单编程，熟练使用办公软件；4、能够接受不定时加班、户外测试，有驾驶证优先；5、有机械证书或者电工证优先；6、为人正直有较强的团队协助精神、勤奋好学、积极向上、有敬业精神，无不良嗜好。7、能尽快上岗者优先。</t>
  </si>
  <si>
    <t>电气维修</t>
  </si>
  <si>
    <t>负责公司电气故障的排除；对公司内用电的分配、设计及用电管理工作；监督检查变电所管理制度的执行情况及备件管理工作</t>
  </si>
  <si>
    <t>上海科瑞物业管理发展有限公司</t>
  </si>
  <si>
    <t>“和我们共创无限可能的未来”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围绕和谐、创造和谐而奋斗！”作为企业口号既企业管理方针，维护社会、业主、企业三方利益。我们的实力：1）上海市物业管理协会副会长单位；2）上海市物业服务综合百强企业排名第三3）上海市物业管理数量领先企业、物业管理面积领先企业（住宅类、非居类、办公类、学校类）TOP104）进入（外）城市个数领先企业、营业收入领先企业、轨道交通收入领先企业、净利润领先企业、员工总数领先企业TOP105）上市公司的成员企业，从东北长春吉林到南部广东佛山，从西北内蒙古到东部上海都有我们科瑞的足迹你有梦想吗？即使面临现实的社会，残酷的生活，你想在此情形下继续维持梦想吗？你想在繁重的工作之余还有诗和远方吗？你想拥有自由的发展空间吗？加入我们，我们能提供你想要的，你梦想的，与科瑞共同创造未来。</t>
  </si>
  <si>
    <t>智能建筑工程实习生</t>
  </si>
  <si>
    <t>通过参与智能建筑工程全流程（设计辅助、现场实施、调试配合、文档整理等）工作，帮助实习生掌握智能建筑系统（如楼宇自控、安防监控、综合布线等）的基本原理与实际应用，熟悉工程现场管理流程，培养工程实践能力与问题解决意识，为未来从事智能建筑相关工作奠定基础。</t>
  </si>
  <si>
    <t>建筑智能化工程技术</t>
  </si>
  <si>
    <t>设备维修</t>
  </si>
  <si>
    <t>对设备的机械、液压、气动系统的故障、磨损进行维修，确保生产；对设备进行点检、保养工作负责设备的日常报表填写</t>
  </si>
  <si>
    <t>图萌（上海）科技有限公司</t>
  </si>
  <si>
    <t>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作为长三角文旅产业联盟会员单位、教育部职教工场项目白名单企业，图萌科技拥有计算机软件著作权登记证书、上海电影电视技术学会会员单位、上海高等职业学校校企合作联盟单位等资质，并具备AIGC课程研发与授课实战经验，以及上海多媒体行业产教融合专委会成员单位身份。取得高新科技企业、双软企业资质，并通过ISO9001质量管理体系认证，重合同守信用企业、科技型中小企业、专精特新企业资质。图萌科技提供面向AIGC+专业条件下的教育解决方案，基于图智AIGC教学资源平台和云端AIGC工具平台，落地人才培养方案、课程建设实施、实验实训建设、师资培训服务、教辅教材开发、赛事指导支持和职业证书认证等服务。</t>
  </si>
  <si>
    <t>平面设计</t>
  </si>
  <si>
    <t>岗位职责1、负责公司宣传材料、册页等的设计与整合。2、精通PS、AI等设计软件。3、参与设计讨论，和业务团队共同创建用户界面，跟踪设计效果，提出设计优化方案。4、良好的团队精神，工作踏实稳定。岗位要求1、全日制大专或以上学历，艺术设计类相关专业毕业。2、有实习经验者优先，能独立完成设计方案。3、会使用CAD做平面布局图者优先。4、会渲染三维效果图者优先。</t>
  </si>
  <si>
    <t>日薪：80-200/天</t>
  </si>
  <si>
    <t>视觉传达设计</t>
  </si>
  <si>
    <t>质量检验员</t>
  </si>
  <si>
    <t>1、做好检验状态的表示，按规定放置各类产品技师处理废品2、按检验规程做好产品首检、巡检、工艺纪律监督工作并对检验过程中发现的不合格现象、违反工艺的情况技师通知操作者纠正3、按照工艺规程、检验规程实施完工检，发现异常情况及时向有关人员反馈，保证不合格品不转序4、当天产品当天清，即将产品及时检验</t>
  </si>
  <si>
    <t>AI虚拟数字人拍摄制作专员</t>
  </si>
  <si>
    <t>岗位职责:1、负责AI虚拟数字人的形象设计、动态捕捉及视频拍摄全流程制作，包括前期策划、场景搭建、灯光调试等。2、使用动作捕捉设备(如光学/惯性动捕系统)、面部表情捕捉技术等，完成数字人的高精度动作与表情数据采集。3、配合A|算法团队，优化数字人的语音、表情、肢体动作的同步性与自然度提升拟真效果。4、负责虚拟拍摄现场的设备调试(如摄像机追踪、虚拟引擎实时渲染等)，确保拍摄效率与质量。5、跟踪行业技术趋势，探索A数字人在直播、短视频、影视等领域的创新应用场景。岗位要求:1、熟悉虚拟制作流程，有动作捕捉(如Vicon、OptiTrack)、面部捕捉(如Faceware、iPhoneARKit)或影视拍摄经验。2、掌握至少一款3D制作工具(如Blender、Maya、UnrealEngine、Unity)能完成基础模型调整与场景搭建。3、了解A|数字人相关技术(如语音合成、TTS、NLP)，有AI工具(如D-D、Synthesia)使用经验者优先。4、具备良好的镜头语言和审美能力，能独立完成脚本分镜设计及后期剪辑(熟悉Premiere、DaVinci等)。</t>
  </si>
  <si>
    <t>上海积千理网络科技有限公司</t>
  </si>
  <si>
    <t>上海积千理网络科技有限公司成立于2019年9月23日，是一家专注游戏直播领域的小微企业，公司位于上海市闵行区禾谷文创园A213号，目前处于开业状态。公司经营范围广泛，涵盖数字文化创意内容应用、互联网数据服务、个人互联网直播服务等。自成立以来，公司凭借专业的团队和创新的理念，在游戏直播领域崭露头角，致力于为观众呈现精彩的游戏直播内容，为游戏爱好者搭建互动交流平台，在竞争激烈的游戏直播市场中逐步站稳脚跟。</t>
  </si>
  <si>
    <t>弹幕游戏互动主播</t>
  </si>
  <si>
    <t>年满18岁，接受无经验从业者，新手小白，弹幕游戏就是抖音最新直播间弹幕游戏玩法，直播间可以不露脸露不露脸看自己个人意愿，主要就是烘托直播间PK赛况的气氛，拉动观众互动率，不用会玩游戏，不需要你上手操作，解说游戏赛况实时即可。岗位职责:1.负责直播抖音平台弹幕实时互动类游戏，直播游戏玩法2.正常上手后，开播六小时。配合公司运营下播复盘3.运营团队跟播，每日下播复盘，成熟话术提供，打造专属你个人的弹幕游戏直播间4.不需要你去维护大哥大姐，抖音平台自动分流，对新人流量扶持极大5.无任何培训费用，接受新手小白0经验，能快速上手6.公司提供专业电脑以及声卡设备，老人带播任职要求：1.公司可接受新手小白0经验新人从业者，应届生，在校大学生，有无经验均可，有直播行业从业经验优先考虑。2.零基础操作，无需懂太多游戏操作，只要你敢开口说话，性格外向活泼开朗，善于沟通，情商高。3.无任何形象上的要求，不需要才艺，年龄没有限制，学历没有要求，只需要你情商高会说话，敢说话，胆子大月入过万不再是梦想工作时间：每日工作六小时不加班，不需要一直坐班，稳定后可以自己挑选时间段播可以居家办公，节假日正常放假。薪资待遇：保底6000-8000（面试定薪）+平台返佣提成+抖音新人奖+全勤奖，稳定综合月收入1.5w以上，公司施行阶梯制激励政策，突破一点上一台阶。没有封顶，只有新高。付出努力与收入成正比，婉拒只想混底薪的。员工福利：公司定期员工团建，下午茶福利，业绩达标奖励，现金红包奖励等，我们是一个年轻且活泼的公司，不积跬步无以至千里，期待更多小伙伴加入我们的团队，共创辉煌！</t>
  </si>
  <si>
    <t>月薪：6K-20K</t>
  </si>
  <si>
    <t>可选择白班或住家1.全面负责新生儿的生活照料，涵盖喂养、洗澡、抚触、更换尿布等环节，保障宝宝的清洁与舒适。2.密切留意宝宝的生长发育状况，诸如身高、体重、睡眠、大小便等方面，一旦察觉异常立即向家长或医生反馈。3.依据宝宝的年龄及发展阶段，精心制定科学合理的喂养计划与作息时间表，悉心培养宝宝良好的生活习惯。4.开展早期教育与启蒙工作，借助游戏、互动等多种方式，推动宝宝的认知、语言、运动以及社交能力的发展。5.承担宝宝衣物、用品的清洗与消毒工作，确保宝宝生活环境的整洁与卫生。6.与家长保持高效且良好的沟通，深入了解家长的需求与关注重点，给予专业的育婴建议和指导。7.协助家长妥善处理宝宝的其他相关事务，像就医、接种疫苗等。任职要求对婴幼儿事业充满热爱，拥有爱心、耐心和责任心，具备良好的职业道德和素养。具备出色的沟通能力和团队协作精神，能够与家长及其他工作人员构建起良好的关系。身体健康，无传染性疾病，拥有良好的心理素质和抗压能力。具有一定的学习和创新能力，能够持续更新育婴知识和技能。有相关从业经验、实习经验者优先；护理专业、学前教育专业、婴幼儿托育专业优先；有乐器、舞蹈、声乐、英语、绘画等特长优先；有相关职业技能证书优先（如育婴师证书、教师资格证等）</t>
  </si>
  <si>
    <t>月薪：6K-7K</t>
  </si>
  <si>
    <t>学前教育,学前教育学,护理学,护理,护理学类,护理类,卫生教育,儿科学,妇幼保健医学,预防医学</t>
  </si>
  <si>
    <t>上海加行自动化科技有限公司</t>
  </si>
  <si>
    <t>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加行为医疗机构、科研机构提供全面的设备、设施整体解决方案。量身定制集成式、模块化的设备和设施，提供专业维护、保养服务，满足专业化、多元化的需求。今天，加行已成为一家创新活力的现代企业。加行通过引入各类国际体系认证使得企业管理日益规范与成熟，被闵行区人力资源和社会保障局认定为区级大学生社会实践基地。而与此同时，对于企业诚信文化建设和团队建设的关注，赋予了缘硕前进所需的品格、力量与激情。</t>
  </si>
  <si>
    <t>安装维护</t>
  </si>
  <si>
    <t>支持公司安装维护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t>
  </si>
  <si>
    <t>月薪：4K-8K</t>
  </si>
  <si>
    <t>销售助理</t>
  </si>
  <si>
    <t>协助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t>
  </si>
  <si>
    <t>技术支持</t>
  </si>
  <si>
    <t>支持公司技术支持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t>
  </si>
  <si>
    <t>上海置道液压控制技术有限公司</t>
  </si>
  <si>
    <t>上海置道液压控制技术有限公司自2005年成立以来，致力于拥有自主知识产权和行业核心竞争力的专业液压控制系统集成供应商，是国家高新技术企业，上海市专精特新重点企业，创新型科技企业。公司集“研发、设计、生产、销售及系统工程服务”于一体，主要业务涉及电力、新能源、化工、钢铁、船舶等领域，现正积极研究和拓展智能化电液系统集成业务。公司技术和管理人员主要来自国际知名大公司及国内著名大型企业，具有强大的设计研发能力和工程经验,公司（含子公司）拥有包括博士、硕士、本科学历的相关专业人员100多人，大专以上学历员工占工厂总员工70%以上。目前，在电力液压系统设备领域，上海置道已发展为市场占有率稳居第一的行业领军企业，是同行业中唯一一家与国内主流大、中主机厂均有长期配套关系的公司，同时，已与三菱日立、艾默生等跨国公司建立了稳定的供货合作关系。四川德阳生产基地主要负责西南地区业务，并在乌鲁木齐设立了检修分公司，便于新疆地区电厂的设备检修及备件供应。顺应“中国制造2025”的步伐，置道公司将积极引进人才，努力引领行业先进技术，势将继续保持行业领先水平。</t>
  </si>
  <si>
    <t>质检员</t>
  </si>
  <si>
    <t>本科</t>
  </si>
  <si>
    <t>任职及岗位要求：1.较强的学习、交流、沟通能力，具有团队合作精神2.为人诚信，工作认真负责，高度敬业精神,服从团队工作安排。3.熟练办公自动化软件（word,excel,PPT等）工作地点：上海或外派办事处</t>
  </si>
  <si>
    <t>澳康达（上海）车辆销售有限公司</t>
  </si>
  <si>
    <t>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迄今为止，澳康达发展成为一个全球知名的二手车独立经销商。2013年投入使用的深圳澳康达名车广场，首创了自有品牌+自建物业+自主经营的二手车发展之路，占地1万㎡，建筑面积12万㎡，12层全空调全玻璃幕墙立体展厅，集名车交易、汽车精品商城、维修保养中心、汽车文化生活、车管所、金融机构、高级会所为一体。澳康达秉承“优质、实惠、尊贵”的服务理念，打造以消费者为中心的服务模式；给消费者不仅带来了名车海洋般的丰富选择，也让二手车消费更加时尚，更值得信赖。澳康达摈弃了租赁经营方式，也不做单一的平台经营或中间服务商，而是深耕二手车行业，从售前、售中到售后的每一个环节，为客户提供全方位、精细化的尊贵服务、客户重复购买率超过60%。作为行业创新先行者，澳康达不仅铸就了行业美誉度第一的实体二手车品牌，同时也搭建了多维度的互联网服务平台，将线下展厅与线上实现无缝对接，连接起全国各地的名车爱好者，远程享受澳康达优质服务。</t>
  </si>
  <si>
    <t>汽车学徒</t>
  </si>
  <si>
    <t>1、严格依照标准化操作流程进行对车辆全车抛光、打蜡工作/钣金/轮胎2、施工结束后对施工结果进行自检，保证施工质量3、维护好本车间的环境卫生，保持车间整洁，保管好施工设备和施工工具4、服从公司调度及上级领导安排</t>
  </si>
  <si>
    <t>任职及岗位要求：1.为人诚信，工作认真负责，高度敬业精神。2.协助管理层内部行政沟通协调及文档管理，文字功底较好。3.协助并陪同公司高层接待和拜访公司重要客户。4.管理层培训与拓展的策划和安排。5.社会公益等非经营性活动的参与安排。6.本岗位优先考虑女性。工作地点：上海</t>
  </si>
  <si>
    <t>行政管理,人力资源管理,文秘类</t>
  </si>
  <si>
    <t>调试及服务人员</t>
  </si>
  <si>
    <t>任职及岗位要求:1.职高及以上文凭（机电一体化或机械自动化优先）2.勤奋肯学，善于同现场客户沟通，为人正直。3.通过短时间培训，能够看懂机械液压设备的装配图、系统原理图、管路图等，根据图纸完成厂内机械液压设备装配、调试。4.通过短时间培训可以根据图纸的技术要求完成机械液压设备调试5.根据电气图纸进行简单的查线，端子图接线，会简单电脑操作6.胜任在厂内及现场对液压设备的安装和调试工作进行指导。工作地点：上海或外派办事处</t>
  </si>
  <si>
    <t>机械工程,机械设计制造及其自动化,机械制造及其自动化,机械设计及理论,机械设计与制造,机械制造与自动化,机械装备制造技术,船舶机械工程技术,机械类,机械</t>
  </si>
  <si>
    <t>机械电气工程师</t>
  </si>
  <si>
    <t>任职及岗位要求:1.为人诚信，工作认真负责，高度敬业精神。2.较强的学习、交流、沟通能力，具有团队合作精神。3.基本的机械液压相关知识，专业课程学分良好。4.熟练使用工程相关绘图软件，主要负责机械液压配套电气设计工作，机电一体化尤佳。工作地点：上海或外派办事处</t>
  </si>
  <si>
    <t>月薪：8K-12K</t>
  </si>
  <si>
    <t>机械工程,机械设计制造及其自动化,机械制造及其自动化,机械设计及理论,机械设计与制造,船舶机械工程技术,工程机械运用技术,机械类,机械,机械设计制造类</t>
  </si>
  <si>
    <t>上海霈赞国际物流有限公司</t>
  </si>
  <si>
    <t>公司集国际货物贸易、报关、报检、货物运输代理等一体，主要承办货物的国际贸易代理、海运、空运进出口货物的国际运输及代理业务，是中国海关AEO高级认证企业，是诸多一线国际品牌合作伙伴。</t>
  </si>
  <si>
    <t>物流单证报关实习生</t>
  </si>
  <si>
    <t>物流单证报关实习生（浦东机场/双休/早9晚5）岗位职责：1、关务单证的收取、录入、整理、登记等；2、进出口报关输单、制单；3、操作文档的整理归档等；4、完成上级布置的其他任务。岗位要求：1、大专及以上学历，2026年毕业生；2、国际贸易、报关、物流管理专业优先；3、良好的学习能力，沟通能力，性格开朗，主动性强；4、word、excel软件操作熟练；5、家住上海浦东机场或祝桥镇周边地区。实习周期：周一—周五，结业完毕后依据实习期考核，表现优异者，进行正式录用及建立劳动关系；团队介绍：年轻活力的团队，专业资深的导师，舒适明亮的办公室；实习福利：实习160元/天，外加20元/天餐补。地址：浦东新区闻居路1333号A座608室闵行区莲花南路2288号杨浦区大连路688号</t>
  </si>
  <si>
    <t>日薪：0-150/天</t>
  </si>
  <si>
    <t>物流管理,报关与国际货运,国际贸易实务</t>
  </si>
  <si>
    <t>上海新致致远智能技术有限公司</t>
  </si>
  <si>
    <t>新致软件成立于1994年，总部坐落于上海，在北京、深圳、大连、重庆、成都、贵安、武汉、东京等多地设立了分支机构。新致软件专注于向保险公司、银行等金融机构及电信、汽车、医疗等其他行业终端客户提供IT解决方案、IT运维服务，以及向一级软件承包商提供软件项目分包服务。上海新致致远智能公司致力于云计算、人工智能产品与解决方案。</t>
  </si>
  <si>
    <t>云计算与AI算力运维工程师</t>
  </si>
  <si>
    <t>1.云架构设计与实施：参与设计高可用、高并发、可扩展的云基础架构方案（主要为IOT相关系统），参与人工智能算力架构设计，并负责将其落地实施。2.云计算与人工智能算力资源管理：管理和维护公司在公有云（如AWS、华为云、阿里云等）上的计算、存储、网络和安全资源。3.运维与监控：建立和完善监控、告警和日志系统，确保云上应用的稳定运行，并能快速定位并给出长期解决方案；对于中间件设定参数的确认，是否合理或者根据相关指标能及时调整。4.成本优化：监控和分析云资源使用情况，提出并实施成本优化方案，控制云支出。5.安全与合规：实施云安全最佳实践，负责网络访问控制、安全组策略、数据加密等，确保基础设施符合安全与合规要求。</t>
  </si>
  <si>
    <t>月薪：6K-12K</t>
  </si>
  <si>
    <t>云计算技术与应用,人工智能技术服务</t>
  </si>
  <si>
    <t>上海无线电设备研究所</t>
  </si>
  <si>
    <t>八O二所，是我国从事精确制导、光电近程探测、空间探测与遥感、数据通信、电磁散射辐射与环境效应、智能交通与探测、智能制造、智慧安防等领域技术研究、产品研制试验与生产的国家重点科研单位。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技术研发中心、八院激光探测技术研发中心等优势科研平台，并与国内外多所高校、研究机构建立了联合实验室，科研实力、科研基础条件、科研成果处于国内领先，致力发展成为具有国际竞争力、科研生产智慧化的小型产业集团和国内领先、国际一流专业研究所。现有职工1300余人，其中各类专业技术人才近900人，博士、硕士超700人，拥有国家百千万人才工程专家、政府特殊津贴专家、省部级学术技术带头人、高级工程师以上高层次技术人才350余人，先后承担数百项国家级、省部级重点科研项目研制和生产任务，荣获省部级以上科技成果200余项，拥有专利560余项。先后荣获全国五一劳动奖状、全国五四红旗团委、全国模范职工之家、上海市职工最满意企业称号、国资委深化人才发展体制机制改革示范企业，蝉联上海市、集团公司文明单位、上海市高新技术企业。秉承弘扬“勤勉、专业、激情、包容”的企业文化，构建良好的工作环境、文化氛围，热诚欢迎广大优秀人才与我们并肩前行，携手共创祖国航天事业美好未来！</t>
  </si>
  <si>
    <t>无线电调试岗</t>
  </si>
  <si>
    <t>机械、电子类相关专业，有仪器、仪表使用经验者优先。</t>
  </si>
  <si>
    <t>机械装配岗</t>
  </si>
  <si>
    <t>结构与机构装配岗，有技能等级证书者优先。</t>
  </si>
  <si>
    <t>上海率震档案信息技术有限公司</t>
  </si>
  <si>
    <t>上海率震档案信息技术有限公司是一家专业为律师、律所、政法机关等提供现代化档案信息服务的科技型公司。现主营业务为档案软件开发，档案5A数字化建设、档案大规模扫描服务、文档追溯管理、档案图像识别、图像优化、档案寄存等。2024年3月1日，《中华人民共和国档案法实施条例》正式施行。相较于此前的《档案法实施办法》，本次施行的《中华人民共和国档案法实施条例》无论是条款数量还是具体内容都有较大变化，内容更加符合当下时代发展，反映时代特点，能够与1991年司法部、国家档案局颁布的《律师业务档案立卷归档办法》和《律师业务档案管理办法》紧密结合，为律师业务档案管理工作提供明确的法律依据和路线指导。上海率震档案信息技术有限公司公司秉承专业、可靠、高效的宗旨，为将律师及律师事务所从律师业务档案的繁重工作中彻底解放出来。现提供律师业务档案的整理、装订、数字化及保管等全流程的服务。</t>
  </si>
  <si>
    <t>档案信息采集员</t>
  </si>
  <si>
    <t>岗位名称及职责：整理员：将单位档案资料整理清楚，页码连贯、目录对应。扫描员：将单位档案资料通过扫描仪进行扫描处理，形成电子格式文档。质检员：检查扫描图像是否合格，并加以更正修改。录入员：将单位档案的封面信息、当事人信息、目录信息通过录入软件输入系统内。装订员：将数字化处理完的档案进行三孔一线的装订。岗位要求：1、大专及以上学历，专业不限；2、扫描员、质检员、录入员必须懂得电脑基本操作，熟练掌握OFFICE等办公软件。年龄18~35周岁，男女不限。扫描员要求动作迅速麻利，质检员要求认真仔细，录入员要求打字速度较快，五笔拼音皆可。整理员、装订员无需使用电脑，要求认真仔细，吃苦耐劳。3、入职需签署保密协议、提供无犯罪记录证明。4、着装得体，遵守单位和公司纪律。</t>
  </si>
  <si>
    <t>档案学,图书档案管理</t>
  </si>
  <si>
    <t>上海久事公共交通集团有限公司</t>
  </si>
  <si>
    <t>上海久事公共交通集团有限公司是沪上大型城市公共交通国有企业。久事公交下属企业分为公交企业板块、保障类企业板块，及综合类企业板块。其中公交运营板块，主要负责上海浦西中心城区的公交运营以及相关车辆维修保障等工作。该板块由五家公交营运公司组成（上海巴士第一公共交通有限公司、上海巴士第二公共交通有限公司、上海巴士第三公共交通有限公司、上海巴士第四公共交通有限公司、上海巴士第五公共交通有限公司）久事公交共有员工2.5万人左右。</t>
  </si>
  <si>
    <t>公交车定向培训驾驶员</t>
  </si>
  <si>
    <t>1、具有本市户籍的，大专或以上应届毕业生。2、无不良社会记录，如拘留、劳改、判刑、吸毒史等。3、身体健康，有良好的反应能力及沟通能力。4、经用人单位面试、政审、体检合格后，签订“三方”（企业、驾校、个人）培训协议书（自费26000元），参加企业驾驶员定向培训。作为城市的名片及服务的窗口，公交车驾驶员需以热情饱满的精神面貌，良好的服务素养，独立担任线路车辆的营运，根据相关规定的线路与班式，保障公众出行的安全与便利。安全驾驶，维护公交车辆的车貌与车况，为广大乘客提供优质的服务。</t>
  </si>
  <si>
    <t>月薪：3K-9K</t>
  </si>
  <si>
    <t>交通运输类</t>
  </si>
  <si>
    <t>单证员</t>
  </si>
  <si>
    <t>负责托书准确的录入负责MBL&amp;HOUSEBILL的核对、更改、申领及签发；熟悉各个船公司、各航线的制单要求；负责费用的录入及确认工作；负责VGM的审核确认及系统导入工作；做好单证及文件的整理和归档任职要求：具有中专以上学历，同行业三个月以上工作经验；能熟练使用电脑，中英文打字速度快，能熟练运用OFFICE操作软件。较强的学习能力，肯吃苦耐劳，对本职工作有着强烈的责任心，耐心、细致、谨慎地对待日常单证工作；有良好的语言表达能力，善于沟通、交流，具有团队合作的精神；</t>
  </si>
  <si>
    <t>上海味捷智朗科技发展有限公司</t>
  </si>
  <si>
    <t>上海味捷智朗科技发展有限公司是熙香科技集团重要子公司之一。集团始创于2014年，是国内领先的人工智能科技企业，国内首家落地的生活服务机器人系统解决方案的服务商，公司致力于借助人工智能、物联网、大数据等技术，激发出更具交互性、智能化和安全的生活服务新业态，通过将物AI+技术应用于生活服务领域，建立智能服务一体化、作业机械无人化、需求定制自动化的“两化一体”模式，实现数据驱动的的精细化运营。公司相关智能产品具备智能感知、智能认知、自主决策、自控执行等功能，是人工智能应用场景的优秀实践和数字化转型的有益探索，大幅加快了行业数字化、智慧化转型。目前，已成长为国内知名的生活服务机器人以及智能制造解决方案提供商，专注、专业打造全系列机器人产品以及跨行业智能制造解决方案。近三年公司员工规模稳重有进，随着公司大量客户案例的成功落地，市场对公司产品的认可度也在快速提高，公司目前在生活服务机器人领域处于国内领先地位。凭借雄厚的先进技术积累和市场领先地位，公司得到了产业资本的高度青睐，先后收到了来自浙江金控、中金资本等多家知名企业的多轮融资。目前，公司在推进C轮融资和后续IPO筹备工作。在发展过程中，公司也获得了各界政府领导的支持和指导，公司主导产品之一深度应用场景—智慧AI食堂获得了习近平主席和李强总理的莅临考察指导，为企业的未来发展提供了强大的信心。</t>
  </si>
  <si>
    <t>机械电工</t>
  </si>
  <si>
    <t>本岗位要求:1、3年以上非标自动化设备电气装配，有低压电工证，2、能看懂图纸3、会布线排线，会对点4、熟悉电气控制柜排布、电气元器件功能;5、熟练掌握电工的基本操作技能和工具6、能接受加班，能接受短期、临时出差</t>
  </si>
  <si>
    <t>月薪：10K-12K</t>
  </si>
  <si>
    <t>机械工程,机械设计制造及其自动化,机械制造及其自动化,机械电子工程</t>
  </si>
  <si>
    <t>高级java开发工程师</t>
  </si>
  <si>
    <t>岗位职责1.参与公司产品或项目的需求分析、设计与开发，根据业务需求完成高质量代码编写，实现系统功能模块；2.负责后端系统的架构设计、搭建与优化，确保系统的稳定性、性能和可扩展性，保障系统高效稳定运行；3.与前端开发团队紧密协作，定义数据接口规范，完成前后端数据交互开发，确保项目整体功能的完整性和流畅性；4.进行数据库设计、优化和维护，熟练编写SQL语句，处理复杂的数据操作和事务管理，保障数据的准确性和安全性；5.编写详细准确的技术文档，包括设计文档、接口文档、使用说明等，为团队协作和系统维护提供支持6.独立解决和处理所负责的项目的运维和监控，及时处理生产环境中的故障和问题，保障系统的可用性和稳定性；7.持续关注行业技术发展趋势，引入新技术、新工具，优化现有技术方案和开发流程，提升团队技术水平和开发效率。任职要求1.专科及以上学历，计算机科学与技术、软件工程、机械、自动化等相关专业优先。2.具有5年以上Java开发经验，有完整的项目开发经验，能够独立承担模块开发任务3.扎实的Java基础知识，熟悉常用设计模式，对多线程、并发编程、JVM原理及调优有深入理解。4.熟练掌握Spring、SpringBoot、SpringCloud等主流开发框架，熟悉其原理和应用场景，能够进行高效开发。5.熟练使用MyBatis、Hibernate等持久层框架，熟悉数据库设计和优化，精通MySQL等关系型数据库6.熟悉常用类库及消息中间件，如Redis、RabbitMQ、Kafka等，了解其基本原理和应用场景，能够进行配置和使用。7.熟悉Linux操作系统，掌握常用命令，能够进行服务器部署、调试和运维工作。8.具备良好的沟通能力和团队协作精神，工作认真负责，有较强的学习能力和解决问题的能力</t>
  </si>
  <si>
    <t>月薪：15K-20K</t>
  </si>
  <si>
    <t>计算机科学与技术,电子与计算机工程,计算机网络技术,计算机应用技术,计算机应用工程</t>
  </si>
  <si>
    <t>上海鲸鱼机器人科技有限公司</t>
  </si>
  <si>
    <t>鲸鱼机器人专注于青少年人工智能与教育机器人领域，是集机器人软硬件的设计、研发、生产、销售为一体的高科技公司。</t>
  </si>
  <si>
    <t>科技馆店员</t>
  </si>
  <si>
    <t>岗位职责:1、服务引导：承担游客的引导、与游玩提供基础服务2、活动与执行人员：负责组织场馆内活动、及其他互动项目，提升游客的参与感和体验感，同时配合其他部门完成临时性工作3、设备维护人员：负责场馆内展品及设备的日常维护与检修，确保展品功能正常，为游客提供良好的互动体验4、安全与秩序管理人员：负责维护场馆内外的秩序，确保游客环境安全，并处理突发情况，如人员疏散或紧急救援5、其他辅助人员：根据实际需求，配合其他部门完成临时性工作，如场馆清洁、车辆协调等任职要求:1、有1年以上儿童乐园、亲子场馆工作经验优先2、有良好的服务意识，亲善友好，能主动为顾客解决问题3、较强的口头沟通能力</t>
  </si>
  <si>
    <t>日薪：120/天</t>
  </si>
  <si>
    <t>技术服务实习生</t>
  </si>
  <si>
    <t>工作职责1、处理用户咨询与反馈，提供专业、及时的解答；2、协助分析客户诉求，推动问题高效解决；3、记录并整理客诉数据，为产品优化提供支持；4、团队协作，共同提升用户满意度。任职要求1、本科及以上学历，专业不限，有客服或机构教育经验者优先；2、具备优秀的沟通能力和同理心，能耐心应对各种用户场景；3、逻辑清晰，善于总结，对数据敏感；4、积极主动，有责任心和团队精神；5、对教育科技、机器人行业感兴趣者加分！</t>
  </si>
  <si>
    <t>研学交付实习生</t>
  </si>
  <si>
    <t>AI机器人幼儿中小学教育背景工作职责1．协助机器人研学活动前期物料、教具准备与检查工作；2．支持活动现场执行，辅助主讲导师完成教学任务；3．经过培训，可独立进行展厅/工厂等内容讲解，组织学生课程活动;4．负责活动现场照片、视频等素材拍摄及整理；5．参与活动后设备回收、物料清点、场地整理及反馈数据的收集与汇总；6．完成团队负责人安排的其他相关工作。任职要求1．专科及以上学历，理工科、教育类、学前教育相关专业背景优先。2．有机器人、编程、无人机经验者优先；3．具备较强的动手能力和沟通能力，乐于接触新科技产品；4．拥有出色的沟通表达和互动引导能力，喜欢孩子，有耐心和热情；5．责任心强，积极主动，注重细节，具备优秀的团队协作精神；6．根据活动需求，适应偶尔周末工作（有调休）。</t>
  </si>
  <si>
    <t>上海慧之颜美容有限公司</t>
  </si>
  <si>
    <t>在上海市中心坐拥5家分店，主营品牌苗方清颜，主打祛痘及问题肌肤管理。开业14年以来，累计会员3000名以上。因为拓店需求，现招聘10名有工作经验的高级美容师及美容学徒，欢迎有志之士的加入。</t>
  </si>
  <si>
    <t>美容师</t>
  </si>
  <si>
    <t>工作职责：1、为顾客提供皮肤护理、美容服务；2、安装美容仪器要求、程序、性能进行美容护理操作；3、保持工作环境的干净整洁；4、学习产品知识和专业技术，不断提高自身职业素质和技能。任职要求：1、形象好、气质佳，在20-40岁之间；2、有一年以上美容、仪器操作经验。有针清祛痘经验的优先3、沟通理解能力强、技术手法好，有服务意识；4、具有亲和力和团队精神，有上进心5、销售能力强的优先考虑薪资福利：1、试用期有保底工资2、转正后工资底薪+提成+奖金，具体详谈，薪资优厚，阶段性考核通过底薪提高3、提供宿舍4、完整的晋升通道：美容师-资深美容师-美容顾问-储备店长-店长5、带薪年假，生日福利，各种额外福利6、试用期过了享受员工福利价购买公司产品，以及免费做脱毛清洁等基础护理项目</t>
  </si>
  <si>
    <t>月薪：7K-13K</t>
  </si>
  <si>
    <t>上海虹艺空调工程有限公司</t>
  </si>
  <si>
    <t>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中央政府采购指定供应商、上海市政府采购中心指定供应商。</t>
  </si>
  <si>
    <t>暖通设计师</t>
  </si>
  <si>
    <t>（一）岗位要求​学历与专业​本科及以上学历，建筑环境与能源应用工程、能源与动力工程（建筑环境方向）、土木工程（建筑设备方向）等相关专业。​成绩优良，核心课程（暖通空调、供热工程、通风工程、建筑节能技术等）无挂科记录。​知识与技能​掌握暖通系统设计基础理论，了解《民用建筑供暖通风与空气调节设计规范》等行业标准；​能熟练使用AutoCAD绘制暖通图纸，具备Revit、鸿业暖通等设计软件基础操作能力者优先；​了解BIM技术在暖通设计中的应用，有课程设计、毕业设计（如办公楼空调系统设计）经验者优先。​素质与能力​具备较强的逻辑思维与方案梳理能力，能清晰表达设计思路；​工作严谨细致，有责任心，具备团队协作意识；​主动学习行业新技术（如绿色建筑、智能暖通），适应项目型工作节奏。​其他​持有CAD工程师认证、BIM技能等级证书者优先；​参与过“人环奖”、高校暖通设计竞赛等赛事者优先。</t>
  </si>
  <si>
    <t>月薪：7K-12K</t>
  </si>
  <si>
    <t>建筑环境与能源应用工程,能源与动力工程,供热通风与空调工程技术,环境工程,建筑设备工程技术,土木工程</t>
  </si>
  <si>
    <t>中央空调维修技术员</t>
  </si>
  <si>
    <t>（一）岗位要求​学历与专业​大专及以上学历，供热通风与空调工程技术、机电一体化技术、建筑设备工程技术等相关专业。​知识与技能​掌握中央空调系统（水冷机组、风冷热泵、VRV多联机等）的工作原理与组成结构；​能使用万用表、钳形表等工具检测电气故障，了解制冷系统打压、抽真空、加氟等基础操作；​熟悉中央空调控制系统（如PLC、变频控制）基础原理者优先，有金工实习、设备拆装实训经验者优先。​素质与能力​动手能力强，能适应一定的现场作业（如机房巡检、设备维修）；​具备较强的问题排查能力与应急处理意识，能清晰记录维修过程；​吃苦耐劳，服从工作安排（部分项目需短途出差或轮班巡检）。​其他​持有制冷与空调作业特种作业操作证（低压电工证）者优先；​参与过高校机电设备维修竞赛、实习期间从事过中央空调运维工作者优先。</t>
  </si>
  <si>
    <t>月薪：7K-15K</t>
  </si>
  <si>
    <t>制冷与空调技术,供热通风与空调工程技术,机电设备安装技术,建筑智能化工程技术,机电一体化技术</t>
  </si>
  <si>
    <t>造价工程师</t>
  </si>
  <si>
    <t>（一）岗位要求​学历与专业​本科及以上学历，工程造价、建筑环境与能源应用工程、土木工程等相关专业。​熟悉暖通设备（空调机组、风机、散热器等）型号与市场价格者优先。​知识与技能​掌握工程造价基础理论，了解《建设工程工程量清单计价规范》，能识别暖通工程图纸；​能熟练使用广联达、鲁班等造价软件进行工程量计算与套价，有课程设计（如暖通工程预算编制）经验者优先；​了解暖通工程施工流程，能结合施工工艺分析造价组成。​素质与能力​具备较强的数据分析能力与细节把控能力，对数字敏感；​沟通表达清晰，能与设计、施工团队协同对接造价问题；​学习能力强，愿意主动了解建材市场价格波动与政策调整（如增值税率变化）。​其他​持有二级造价工程师（基础科目）合格证明者优先；​参与过高校工程造价竞赛、实习期间接触过暖通预算工作者优先</t>
  </si>
  <si>
    <t>月薪：8K-15K</t>
  </si>
  <si>
    <t>建筑环境与能源应用工程,工程造价,能源与动力工程,供热通风与空调工程技术,建设工程管理,建筑工程技术</t>
  </si>
  <si>
    <t>上海宝盖头家居科技有限公司</t>
  </si>
  <si>
    <t>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围内家居最流行趋势，寻找有共鸣感的家居。直接、严选、自由是我们理想的经营方式。我们提供专业的全屋软装搭配服务，最大程度输出“追求有品质的个性化生活”理念。我们希望能有更多的人通过我们，享受到高品质的家居生活。</t>
  </si>
  <si>
    <t>新媒体运营-偏拍摄/剪辑文案</t>
  </si>
  <si>
    <t>岗位职责：1、强摄影及修图能力，负责配合小红书平台运营的摄影摄像；2、负责抖音、视频号等公司各平台的信息流短视频拍摄、剪辑、画面包装、调色、声音处理、字幕、特效合成等；3、负责新媒体平台运营及文案撰写（微博、微信、公众号、抖音等）；4、负责新媒体平台的内容选取、编辑、发布；5、负责平台粉丝招募和维护；6、负责活动内容质量和传播度；7、负责新媒体产品挖掘与运营，及时掌握同行业新媒体动向，与现公司业务相结合，进行网络营销推广，及时反馈对公司的相关信息；8、参与视频创作团队完成视频内容创意策划。对素材进行整理和分类，优化与内容策划的协作流程，提高整体输出视频效率；建立并完善新媒体资源库；9、配合制作公司各类宣传海报、酷家乐软件渲然图片等工作；10、认真完成领导交代的其他工作。任职要求：1、强摄影摄像能力；2、熟悉新媒体平台（抖音、微信、微博、微信朋友圈、公众号等）文案；3、有文字功底，阅读能力，熟悉平面设计、摄影剪辑；4、参与短视频拍摄；5、有良好的沟通能力，和团队合作精神。工作时间：做六休一，早上9:30-下午18:30；工作地点：上海市闵行区颛桥镇光华路158号（宝盖头家居）；福利待遇：五险一金，生日红包（蛋糕），团建活动，节日礼品，带薪年假，每日还可享受现磨咖啡。</t>
  </si>
  <si>
    <t>月薪：6K-10K</t>
  </si>
  <si>
    <t>电子信息科学与技术,数字媒体技术,电子与计算机工程</t>
  </si>
  <si>
    <t>上海市闵行区医疗急救中心</t>
  </si>
  <si>
    <t>上海市闵行区医疗急救中心隶属于上海市闵行区卫生健康委员会，是区内唯一从事院前急救专业的公立医疗卫生事业单位。承担了闵行区内272万人口的院前急救、危急重病症初步诊治与抢救护理。职责还包括急救临床教学、急救医学科研、急救卫生技术人员培训和区域重特大事故现场紧急救援以及大型赛事活动现场医疗保障等工作。</t>
  </si>
  <si>
    <t>院前急救辅助人员</t>
  </si>
  <si>
    <t>1.协助急救医生做好现场医疗急救工作；2.承担病人的抬抱转运工作；3.协助急救驾驶员做好安全行车、车辆卫生及其他辅助性工作。</t>
  </si>
  <si>
    <t>上海博赫尔科技集团有限公司</t>
  </si>
  <si>
    <t>博赫尔（POHIR）科技集团是一家全球智能化清洁清洗解决方案提供商和服务商，POHIR博赫尔品牌起源于上个世纪90年代的德国，经过近20多年的发展和不断创新，POHIR博赫尔在全球已覆盖了北美，欧洲，东南亚等全球50多个国家或地区，并为全球30万+客户提供清洁清洗设备解决方案。在欧洲，博赫尔（POHIR）分别在德国、法国等地设有2个仓储运营服务中心和1个产品设计研发中心。在北美，博赫尔（POHIR）分别和本土巨头沃尔玛Walmart和亚马逊AMAZON合作在纽约和洛杉矶、芝加哥等设有3个海外仓运营服务中心。在中国，博赫尔（POHIR）于2013年将总部设在中国上海，目前博赫尔（POHIR）科技集团在国内设立了1家产业研究院、2家产品研发中心、4大产业园和制造基地、600多家售后服务网点、5万㎡中心仓库。旗下运营公司拥有国家级专利30+，并于2021年由上海市科学技术委员会、上海市财政局、国家税务总局上海市分局联合认定为“高新技术企业”和“科技型企业”称号。目前公司的生产经营品类也从高压清洗机逐步拓展到商用扫地机，商用洗地机，工业吸尘器，扫雪机，疏通机，吹干机，抛光机，升降堆高设备，交通设备等，其主营产品在国内头部电商平台（天猫、京东等）销量连续多年位居热销TOP水平。博赫尔（POHIR）目前已经为家乐福，太太乐，新希望集团，中粮集团，国药集团，万科物业，上海仁济医院，碧桂园，海底捞，伊利集团及大型国央企，政府和军队提供产品和服务解决方案，建立了良好的合作关系。博赫尔（POHIR）集团秉承成为全球清洁清洗设备专家的企业愿景，始终着眼全球化视野，坚持务实，稳健，创新，环保的发展理念，且始终坚持客户至上，用心服务的原则不断前进！</t>
  </si>
  <si>
    <t>电商客服</t>
  </si>
  <si>
    <t>岗位职责：1、通过聊天工具完成平台的售前客户咨询接待；2、负责跟进订单、异常件管理；3、服从安排，负责其它售后问题及突发事件。4、打字速度50字/分钟以上；岗位要求：1、经验不限；2、做6休1，国定假期正常放假。公司提供完善的培训、轮岗、转岗及晋升机会！</t>
  </si>
  <si>
    <t>日薪：120-200/天</t>
  </si>
  <si>
    <t>电子商务类</t>
  </si>
  <si>
    <t>跨境电商运营助理</t>
  </si>
  <si>
    <t>岗位职责:1.参与跨境电商平台（亚马逊、eBay、独立站等）的运营活动，包括但不限于产品发布、活动策划与执行；2.进行市场数据分析，了解行业趋势，调整运营策略以满足市场需求；3.与团队协作，开发新的销售渠道，提升产品曝光率和销量；4.管理和优化产品列表，确保产品信息的准确性和吸引力；5.监控运营指标，及时调整运营计划以达到销售目标。任职要求：1.对跨境电商行业感兴趣，具备基本的市场分析能力；2.具备创新思维，能够不断提出和实施新的运营思路。3、大学本科在读学生，英语好.</t>
  </si>
  <si>
    <t>跨境电子商务</t>
  </si>
  <si>
    <t>全屋定制销售顾问</t>
  </si>
  <si>
    <t>岗位职责：1、对家装有一定了解，为客户提供全屋定制及软装搭配服务；2、熟悉全屋定制全套流程，精准捕捉客户全屋定制需求；3、为客户提供专业的一对一服务，解决客户售前产品咨询，售中对接设计师服务，售后等各类问题反馈，衔接售后部的上门服务需求；4、意向客户的定期追踪维护，定期向部门负责人进行汇报，并转化客户需求及设计服务；5、具备对接客户需求，能独立上门测量，且能现场及时有效沟通反馈；6、能够清晰把握客户方向，并讲解设计方案，能为客户提供全屋定制设计方案对接；7、对接工厂，设计师及安装团队，跟踪订单生产进度，确保按时交付，能处理安装过程中的突发问题；8、交付后定期回访，收集满意度反馈，推动复购或转介绍；9、有操作酷家乐软件能力，优先考虑；10、完成领导交代的其他工作，以及团队间的项目配合。任职要求：1、20岁以上，男女不限，展厅接待，能独立完成产品介绍；2、1年以上全屋定制硬装销售经验者优先；3、日常事务的配合：巡场、盘点、维护展厅及优化展厅；4、能独立开单，实现个人业绩增长；5、工作细心，条理清晰，有一定的的沟通、协调能力，有良好的团结协作的精神。工作时间：做六休一，早上9:30-下午18:30；工作地点：上海市闵行区颛桥镇光华路158号（宝盖头家居）；福利待遇：五险一金，生日红包（蛋糕），团建活动，节日礼品，带薪年假，每日还可享受现磨咖啡。</t>
  </si>
  <si>
    <t>月薪：10K-16K</t>
  </si>
  <si>
    <t>土木工程,建筑学,城市设计</t>
  </si>
  <si>
    <t>尚众环保科技（上海）有限公司</t>
  </si>
  <si>
    <t>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公司主要业务：一、“三化”工程业务1.智能化工程及维保，含道闸、门禁、监控、LED显示屏、远程智能控制系统、预付费电表系统、图像识别系统、自动监测系统等工程业务;2.亮化工程及维保，城市及道路照明工程、建筑及市政景观亮化工程、厂区园区小区亮化工程等;3.绿化工程及绿化养护，市政园林、城市道路、小区社区绿化工程等。二、装饰装修业务厂房、员工宿舍楼、小区住宅、写字楼、酒店等。三、产品生产及购销1.灯具、配电柜、电器设备等；2.燃气智能井盖（泄露检测装置）；（浙江余慈，在嘉善）3.树木、小苗、花卉等;（在崇明、余姚有公司苗木基地)</t>
  </si>
  <si>
    <t>CAD制图员</t>
  </si>
  <si>
    <t>熟练使用CAD软件，主要负责弱电、电气、绿化制图。</t>
  </si>
  <si>
    <t>销售</t>
  </si>
  <si>
    <t>1.具有想从事销售工作的愿望2.性格外向、胆大、心细、能坚持3恪守规则</t>
  </si>
  <si>
    <t>技术员</t>
  </si>
  <si>
    <t>1、本科以上学历；2、楼宇智能化、机电一体化等相关专业；3、有电子智能化或弱电行业的实习经验，熟悉智能化各子系统，能安装调试者优先；4、具有较强的工作责任心，上进心，吃苦耐劳。</t>
  </si>
  <si>
    <t>上海墨刻景观工程有限公司</t>
  </si>
  <si>
    <t>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MEKELandscapeundertakelandscapeprojectsfromconcepttoconstructionstages.Ouruniquedesignpracticesandhigh-qualityconstructionsmakeitbecomeoneofthebestdesigncompaniesinChina.MEKEfocusoncontemporarylandscapedesignwiththecombinationofwesternlandscapeandtraditionalChinesegardening.WeprovidetheclientsaspecialconceptionwithgeographicalcharactersindifferentsitesMEKEcontainprojectsfromsuperiorresidentialcommunities,luxuryresorts,urbanparksandplazas,scenicspots,themeparks,economicandindustrialcommunities.OursitesspreadthroughoutChinaandSanFrancisco.MEKEhavemadeagoodrelationshipwithlocalcouncilandRealestateDeveloper.Wealwayspayfullattentiontoclients'needsandmakethembarticipateintheprojectsactivelyMEKEbelievein"Designmakesbetterlife"andcarrythroughalltheprojects.Ourgreatteammakesgreatservicefortheclientswithprofessionalandresponsibledesigners.Weworkincollaborationoninternationalandlocalprojects,whichareprospective.Asateam,wealsohaveconsultantswithextensiveexperiencetohelpusproducecreativedesignworks</t>
  </si>
  <si>
    <t>设计助理</t>
  </si>
  <si>
    <t>1、艺术设计类相关专业，具有深厚的美术功底，有较强的艺术修养；2、掌握CAD、Coreldraw、Photoshop、SketchUp等设计软件；3、具备独特的设计理念，思维开阔、善于创意，具备丰富的空间想象力及创新能力，熟知商业美陈设计、商业空间设计、展览、展示设计及工艺结构和运作流程，能独立完成各种设计方案和施工图的制作；</t>
  </si>
  <si>
    <t>建筑室内设计</t>
  </si>
  <si>
    <t>上海飒智智能科技有限公司</t>
  </si>
  <si>
    <t>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飒智智能以上海为总部，在深圳、天津等重要城市设立子公司，并构建以欧洲、东南亚、北美为支点的全球业务辐射网络，实现技术、市场与服务的国际化布局，为全球客户提供高端、可靠、持续进化的智能作业解决方案，成为赋能人类迈向智能新纪元的世界级科技企业。</t>
  </si>
  <si>
    <t>大客户经理</t>
  </si>
  <si>
    <t>岗位职责1.协助资深销售对接头部企业客户，参与客户需求调研、方案沟通与商务谈判，快速熟悉大客户销售全流程。2.负责客户信息整理与维护，建立客户档案，跟踪客户合作进度，辅助完成订单跟进与回款协助工作。3.参与市场竞品分析与行业动态收集，输出简易分析报告，为大客户销售策略制定提供数据支持。4.完成管培生专项培养计划，包括产品知识培训、销售技巧实战演练、跨部门轮岗（任职要求1.2026届全日制本科及以上学历，专业不限，市场营销、工商管理、国际贸易等相关专业优先。2.具备强烈的目标感与抗压能力，愿意挑战高薪，对ToB大客户销售工作有明确兴趣与热情。3.拥有优秀的沟通表达与逻辑思维能力，能清晰传递信息，快速理解客户需求，有校园社团管理、大型活动组织或销售相关实习经历者优先。4.学习能力强，具备团队协作意识，能快速适应快节奏工作环境</t>
  </si>
  <si>
    <t>月薪：7K-10K</t>
  </si>
  <si>
    <t>工商管理,市场营销,国际经济与贸易,国际贸易学</t>
  </si>
  <si>
    <t>上海三菱电梯有限公司安装维修分公司</t>
  </si>
  <si>
    <t>上海三菱电梯有限公司上海分公司（营业执照名称为：上海三菱电梯有限公司安装维修分公司，以下简称：公司）成立于1992年4月，隶属于上海三菱电梯有限公司，专业从事上海三菱电梯有限公司和日本三菱电机株式会社制造的各型号电梯、自动扶梯产品销售、安装、维修、改造、保养、备件销售等业务，具备国家特种设备安装改造维修A级资质。公司坐落于上海昌化路649号。通过30多年的发展，上海三菱电梯有限公司安装维分公司已实现年度销售、安装电梯达5000多台，保养电梯40000多台的业绩。</t>
  </si>
  <si>
    <t>电梯维修保养岗位</t>
  </si>
  <si>
    <t>工作职责：代表公司与客户处理管辖区域内的电梯保养、维修施工中出现的各种问题；及时响应客户的需求，为客户提供可靠的技术诊断与维修支持。员工发展与工作环境：实习期工资2700元，每月享受交通及话费补贴200元，并根据考核发放年终奖，转正后工资平均月薪4000-8000元/月（税前），并根据绩效情况发放月度奖金，年底根据工作表现发放全勤奖及年终奖；每年参加岗位培训及评定，增长技能工资；一经录用缴纳相关社会保险；根据技能评定及工作表现岗位上升依次为为“检查调整岗”、“项目组长”、“站长助理”、“站长”等，并承担相关职责，享受相应升级待遇。工作区域：上海市各大电梯维保站点。岗位变动：工作表现优异者，可被推荐、被选拔至高阶岗位；也可转电梯安装岗（个别申请）。</t>
  </si>
  <si>
    <t>月薪：4K-15K</t>
  </si>
  <si>
    <t>上海永达北沃汽车销售服务有限公司</t>
  </si>
  <si>
    <t>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t>
  </si>
  <si>
    <t>市场助理</t>
  </si>
  <si>
    <t>1.负责前台客流登记2.负责配合完成各项市场营销策划活动3.负责开发针对经销商与客户的季节性或主题性推广活动4.领导交代的其他工作</t>
  </si>
  <si>
    <t>上海卡倍亿新能源科技有限公司</t>
  </si>
  <si>
    <t>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公司作为汽车供应链的二级供应商，长期供货和服务的线束客户有矢崎、安波福、住友、李尔、德科斯米尔、古河、莱尼、科世科等世界汽车线束十强中的八强。线缆产品被广泛使用于：大众、宝马、奔驰、通用、福特、沃尔沃、丰田、本田、荣威、吉利、特斯拉、比亚迪、蔚小理等知名品牌汽车上。公司大力开展汽车、储能和人工智能领域，打造多元化的产品。公司是ISO国际汽车线缆标准委员会成员，近年来多次参与了新能源高压电缆、铝电缆、以太网电缆等一系列重要的国际汽车线缆标准的制订。</t>
  </si>
  <si>
    <t>交付类管培生</t>
  </si>
  <si>
    <t>该岗位未来方向为生产岗、研发岗、交付岗等，电线电缆、电子电气、机械工程及自动化、数学、统计学等专业优先，要求每周至少3天全天出勤任职资格：1、统招大学专科以上学历，电线电缆、电子电气、机械工程及自动化、数学、统计学等专业优先；2、有上进心，学习意愿较强，愿意从基础开始学起，能吃苦耐劳；3、学习成绩优异，专业排名靠前；4、熟悉常用办公软件。</t>
  </si>
  <si>
    <t>电线电缆制造技术,机械设计制造及其自动化,数学,统计学</t>
  </si>
  <si>
    <t>软装设计师</t>
  </si>
  <si>
    <t>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搭配方案，跟进及协调客户订单完成；4、按照公司销售服务标准为客户提供优质服务，提升品牌形象；5、了解客户对公司产品及各环节服务评价或期望并反馈给公司及上级，为提升客户消费体验提供改进方向；6、更新公司软装方案模板，为客户提供更多优质的设计选择；7、具备良好的团队合作精神，有责任心，进取心；8、遵纪守法，有职业道德，并遵守公司各规章制度；9、完成上级下达的各项工作指令。任职要求：1、20岁以上，男女不限；艺术设计类大专以上学历；2、1年以上软装设计工作经验，具备硬装设计经验优先考虑；3、具备较好的空间感、色彩搭配能力、较高的悟性，能熟练使用autocad、Photoshop、PPT、酷家乐等设计软件优先考虑；4、熟悉各种装饰风格，具有良好的艺术修养，对软装设计行业有较强敏感度及充满极大的热情；5、工作细心，有条理，效率高，沟通、协调能力强。工作时间：做六休一，早上9:30-下午18:30；工作地点：上海市闵行区颛桥镇光华路158号（宝盖头家居）；福利待遇：五险一金，生日红包（蛋糕），团建活动，节日礼品，带薪年假，每日还可享受现磨咖啡。</t>
  </si>
  <si>
    <t>月薪：9K-13K</t>
  </si>
  <si>
    <t>建筑设计及其理论,建筑设计,家具设计与制造</t>
  </si>
  <si>
    <t>中移铁通有限公司上海闵行分公司</t>
  </si>
  <si>
    <t>中移铁通为中国移动下属专业子公司，公司定位为“属地装维营销专业化支撑者”和“数智工程服务市场化拓展者”，重点聚焦家庭宽带安装维护、政企客户项目交付、DICT系统集成和工程项目建设维护等业务。</t>
  </si>
  <si>
    <t>爱家工程师</t>
  </si>
  <si>
    <t>宽带、互联网电视、智能家居产品的安装调试，用户故障处理，移动业务随销等。</t>
  </si>
  <si>
    <t>月薪：5K-15K</t>
  </si>
  <si>
    <t>技术管培生</t>
  </si>
  <si>
    <t>该岗位未来方向可分为研发岗、工艺岗等，电线电缆，高分子材料，计算机等专业优先，要求每周至少3天全天出勤。任职资格：1、统招大学专科以上学历，电线电缆或高分子材料相关专业毕业优先；2、有上进心，学习意愿较强，愿意从基础开始学起，能吃苦耐劳；3、学习成绩优异，专业排名靠前；4、熟悉常用办公软件。</t>
  </si>
  <si>
    <t>电线电缆制造技术,电气工程及其自动化,机械工程</t>
  </si>
  <si>
    <t>营销管培生</t>
  </si>
  <si>
    <t>该岗位未来方向为外销岗位(日语，英语），要求市场营销，英语或者日语等相关专业，每周要求至少3天全天出勤任职资格：1、统招专科以上学历，市场营销、英语或者日语等专业毕业；2、性格外向，具有较强的沟通能力和语言表达能力，应变能力和谈判能力；3、（英语）或（日语）流利加分；会开车（开车熟练）；4、有汽车零配件行业销售经验加分；5、有上进心，学习意愿较强，愿意从基础开始学起，能吃苦耐劳；6、学习成绩优异，专业排名靠前；7、熟悉常用办公软件。</t>
  </si>
  <si>
    <t>日语,商务日语,应用日语,英语,商务英语,应用英语</t>
  </si>
  <si>
    <t>上海上勤高级楼宇管理有限公司</t>
  </si>
  <si>
    <t>上海上勤高级楼宇管理有限公司，隶属于上海市机关事务管理局委托管理的国有独资企业，一直从事市人大和市政府等机关后勤服务保障工作。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效应，具有较高的认知度和美誉度。</t>
  </si>
  <si>
    <t>工程助理（物业维修电工）</t>
  </si>
  <si>
    <t>机关项目，做五休二（晚间有轮流安排夜值班）岗位要求：1、年龄50岁以下，经验丰富者可适当放宽。2、至少须持有低压电工证、职业资格证书（维修电工初级/五级），能独立动手操作。3、须有高度的工作责任心、良好的沟通能力、有较强的团队意识。4、有酒店、办公楼等物业工作经验优先。</t>
  </si>
  <si>
    <t>上海世界联合服装有限公司</t>
  </si>
  <si>
    <t>上海世界联合服装有限公司隶属ICCF之禾卡纷集团。ICCF之禾卡纷集团是着重于可持续发展的全业务连高端时尚集团，致力于为世界提供基于优质原料的环境友好时装。集团旗下目前的主要业务板块，包含中国品牌ICICLE之禾，法国品牌CARVEN卡纷，时装制造中心以及物流中心，从原料采购、产品开发、制造、销售和消费者体验的全业务连视角，寻求品牌发展与环境、社会的和谐共生。我们的团队年轻有活力，乐意带教新人。我们诚挚的欢迎阳光，积极，进取的你。我们秉承集团追求天然，舒适，环保的理念，为员工提供良好的工作环境和氛围。</t>
  </si>
  <si>
    <t>生产培训生（毛衫方向）</t>
  </si>
  <si>
    <t>招聘岗位：生产培训生（毛衫方向）培养方向：生产管理招聘人数：4人工作地点：上海市闵行区绿春路189号薪资：6000-8000元/月任职要求：1.专科及以上学历，服装相关专业（针织专业优先考虑）；2.应届毕业生或毕业三年以内；3.善于沟通表达；4.逻辑思维能力强，有进取心，职业发展规划清晰；5.热爱服装行业，愿意扎根工厂，热爱制造福利：包吃包住、带薪年假、节日福利、定期体检、六险一金（包含补充商业医疗保险）、交通补贴、团建活动。联系人：人事行政部</t>
  </si>
  <si>
    <t>服装设计与工程,针织技术与针织服装,服装与服饰设计,服装设计与工艺,服装设计与工艺教育</t>
  </si>
  <si>
    <t>闵行区吴泾第二幼儿园</t>
  </si>
  <si>
    <t>闵行区吴泾第二幼儿园位于闵行区吴泾地区的黄浦江边，创办于1992年，是一所公办幼儿园，园所占地面积为3208平方米，建筑面积1237平方米。绿化面积948平方米。园训：博学之本启蒙之所办园理念：伴着幼儿健康幸福地成长幼儿发展目标：习惯良好好奇探究文明乐群勇敢自信健康快乐。</t>
  </si>
  <si>
    <t>教师</t>
  </si>
  <si>
    <t>学前教育专业，本科，有幼儿园教师资格证，身体健康，对待工作有责任心有爱心，有良好的团队合作精神。</t>
  </si>
  <si>
    <t>学前教育</t>
  </si>
  <si>
    <t>上海圆外物业集团有限公司</t>
  </si>
  <si>
    <t>上海圆外物业集团有限公司于2004年2月经国家工商行政管理局批准成立，注册资金500万。公司目前管理的物业面积有400余万平方米,包括：高层住宅、多层住宅、别墅、商业物业、办公楼、工业厂房、学校等各类物业的管理与服务。公司董事长李俊南先生，上海市闵行区政协常委，本科学历，工程师中级职称，专注物业管理服务15年，获得上海市物业管理行业协会首批物业管理专家、上海市物业行业协会优秀工作者、上海市房地局物业招投标评审专家、上海市物业管理超标准认证评审专家、上海市闵行区物业管理行业工会联合会工会主席等多种荣誉。公司自成立以来注重服务管理和服务质量，有完整的运营管理机制和全新的经营理念，有团结向上的团队精神、积极向上的工作作风、良好的服务信誉以及高标准的经营服务道德规范。公司始终坚持忠诚、务实、团结、守信的管理理念，坚持奉行“打破惯性、挑战自我、不断创新”的质量方针，坚持贯彻为您竭尽所能的服务口号！脚踏实地抓管理，精益求精创品牌。公司是上海市物业管理行业协会理事会理事单位。被上海市物业管理行业协会评为“上海市物业服务综合百强企业”以及“上海市物业服务综合能力四星级星级企业”。闵行区房管局应急抢修单位。物业服务行诚信承诺AAA级单位。公司设有八个部门：行政人事部、财务部、品质保障部、技术支持部、采购部、运营部、市场拓展部、公众事业部，拥有人数1000余人，具备专业经验的管理人才队伍和具备专业操作技能的服务队伍，能够为不同需求的业主提供细致、周到、规范和满意的服务。</t>
  </si>
  <si>
    <t>智能弱电工（实习-转正）</t>
  </si>
  <si>
    <t>1、负责弱电系统的日常运维、故障检修与基础调试，保障弱电系统稳定运行，支撑楼宇智能化服务落地。2、负责弱电系统的日常巡检，涵盖综合布线系统（网络、电话、光纤链路）、安防监控系统（摄像头、存储设备、监控平台）、出入口控制系统（门禁一体机、人脸识别设备、道闸联动）、楼宇对讲系统（室内分机、单元门口机、中心管理机）及停车场智能管理系统（车位引导屏、缴费终端、车牌识别设备）。3、协助完成弱电系统升级改造的现场配合工作（如综合布线扩容、旧监控设备替换）。4、配合弱电工程师完成弱电系统的基础调试，如新增门禁卡授权、监控摄像头角度调整、楼宇对讲系统室内分机注册，确保设备接入现有系统正常运行。5、建立个人负责区域的弱电设备台账，记录设备型号、安装位置、维保时间、故障历史，每月底汇总至部门负责人，确保台账信息准确更新。​6、响应业主关于弱电系统的基础咨询（如门禁卡补办流程、家中网络接口无法使用排查），跟踪问题解决进度。</t>
  </si>
  <si>
    <t>工作内容及职责：1、根据厂方及公司的销售任务，负责汇总及统计相关销售数据2、对客户的订单进行汇总、整理、录入工作，并及时检查订单是否完整和准确3、定期将客户的市场反馈信息上报有关部门4、协助部门领导完成各类报表2026年应届毕业生，大专以上学历，文秘、电子商务或市场营销相关专业</t>
  </si>
  <si>
    <t>慈溪市公牛电器有限公司</t>
  </si>
  <si>
    <t>公牛集团股份有限公司创办于1995年，公司专注于以转换器、墙壁开关插座为核心的民用电工产品的研发、生产和销售，主要包括转换器（即延长线插座、移动式插座等）、墙壁开关插座、LED照明、数码配件等电源连接和用电延伸性产品，广泛应用于家庭、办公等用电场合。目前，公司拥有观海卫工业园东区、工业园西区、古窑、龙山等多个制造基地，员工总数超过1万人，建立了近100万家网点的线下实体营销网络和专业的线上电商营销网络。</t>
  </si>
  <si>
    <t>电商运维专员</t>
  </si>
  <si>
    <t>岗位名称：电商运维专员薪资待遇：实习期4000元/月（工作期间每日12元餐补）,转正后：6000-12000，年终13薪，带薪年假工作时间：每天8小时，每周固定工作5天休息2天早班：9:00-18:00中间休息一小时晚班：13:00-22:00中间休息一小时（电商活动期间会有加班，平时基本没加班）工作内容：负责公牛电器天猫商城、京东商城在线运营，及售前、售中、售后服务（非电话形式），纯写字楼办公要求：大专及以上学历，打字速度快，专业不限，公司提供带薪培训一个月</t>
  </si>
  <si>
    <t>月薪：4K-12K</t>
  </si>
  <si>
    <t>上海励影文化传媒有限公司</t>
  </si>
  <si>
    <t>上海励影文化传媒有限公司，成立于2014年，是一家综合型专业公关活动影服务商。提供导播直播、摄影摄像、视频制作等活动影像技术解决方案。公司核心团队均为高校编导专业毕业，团队年总计近干场影像服务经验，其专业度获得客户高度认可。公司自有多套顶级4KEFP导播直播系统以及高端摄影摄像器材。管理上导入了绩效管理机制，励影传媒，凭借资深执行团队+自有高端影像设备+成熟管理机制三大优势，给客户带来最具性价比的服务。希望通过专业视频传播服务，效，高质呈现客户所需。为客户品牌带来最大商业价值!</t>
  </si>
  <si>
    <t>助理</t>
  </si>
  <si>
    <t>培养目标：（直播转播活动摄像方向，平面和TVC发展方向的勿扰，）摄像师，导播，网络直播技术，摇臂手，项目经理，部门经理。*广阔的晋升空间；*可接触到业内先进设备；*过了试用期，签约后可以提供住宿；*会开车可优先考虑；岗位描述：1、配合摄像师进行日常拍摄，准备设备，搬运装配设备；2、协助直播导播完成工作，听从导播安排；3、对直播拍摄设备进行日常维护和保养；4、对拍摄素材进行归档整理和简单剪辑；5、负责项目现场内部花絮视频和照片的搜集工作；6、相关影视器材检查、整理，保养和维护。</t>
  </si>
  <si>
    <t>月薪：2K-4K</t>
  </si>
  <si>
    <t>广播电视编导</t>
  </si>
  <si>
    <t>中国福利会托儿所</t>
  </si>
  <si>
    <t>中国福利会托儿所，由新中国的缔造者之一、国家名誉主席、中国福利会创始人宋庆龄女士亲手创办于1950年。70多年来，遵循宋庆龄“愿小树苗健康成长”的教育期许和“把最宝贵的东西给予儿童”的工作要求，中国福利会托儿所积极探索营养膳食、科学育儿、婴幼儿教育教学的研究与实践，逐渐形成了以营养为特色，以保健为基础，保教结合，身心并举的健康教育模式，构建了1-6岁早期教育全程化的办学格局。</t>
  </si>
  <si>
    <t>1、应具备良好的师德、健康的身心，得体的仪表；2、充满爱心和童心，爱岗敬业，能吃苦耐劳；3、护理幼儿生活，做好班级日常生活工作、校园环境、班级卫生及各类设施清洁工作；4、协助配合带班教师做好幼儿教育教学等工作；5、服从单位安排的其他相关工作。</t>
  </si>
  <si>
    <t>学前教育,幼儿发展与健康管理</t>
  </si>
  <si>
    <t>上海永达新能源汽车集团有限公司</t>
  </si>
  <si>
    <t>集团简介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我们主要经营汽车销售服务、二手车、汽车金融、汽车租赁等产业，公司主要代理宾利、保时捷、捷豹路虎、阿斯顿马丁、宝马、奔驰、奥迪、林肯、英菲尼迪、凯迪拉克等多个国际知名豪华汽车品牌，服务网络主要分布在上海、北京、天津等3个直辖市和17个省的55个城市。率先在行业内形成学车、买车、卖车、租车、修车、验车等完整的汽车销售服务产业链，提供新车销售、汽车金融与保险、装潢用品、售后服务、平行进口汽车、二手车置换与销售、快修连锁、汽车零配件和养护品销售等服务，并通过互联网电商及新媒体平台，构建线上线下一体化全方位的汽车产业链生态圈，打造高效、便捷的汽车生活服务平台。永达新能源集团上海永达新能源汽车集团有限公司主要经营新能源汽车销售服务、新能源后市场服务及充换电等产业，公司主要代理小鹏、华为AITO、特斯拉、路特斯、SMART、上汽智己、福特新能源（野马）、欧拉、零跑等多个国内知名新势力新能源汽车品牌，服务网络持续扩大目前主要分布在上海、苏州、杭州、无锡、南京、丽水、常州、广州、南昌、合肥、绵阳等多个城市，运营规模及服务能力不断攀升。</t>
  </si>
  <si>
    <t>财务实习生</t>
  </si>
  <si>
    <t>[岗位职责]1、协助门店财务部门完成日常财务工作，如整理票据、会计凭证和财务资料等；2、协助部门同事完成维修工单的开票结算和新车整车的开票与开具出门单；3、根据业务发展需要，完成指定的其他工作。[任职资格]1、大专及以上学历，财会相关专业者优先；2、工作积极主动，细心，有责任心，执行能力强；3、善于思考，有较强的解决问题能力和抗压能力；4、有较强的沟通能力、学习能力和专注力。</t>
  </si>
  <si>
    <t>日薪：150/天</t>
  </si>
  <si>
    <t>服务顾问实习生</t>
  </si>
  <si>
    <t>[岗位职责]1.热情引导接待用户，沟通确认用户需求，根据需求给出专业的服务方案；2.熟悉车辆功能及使用，深刻理解公司服务理念，为用户提供专业的解答；3.跟踪车辆整体维修情况，确保维修时效质量、完工交付标准及维修服务体验；4.维护用户关系，保证每位用户都能得到专业且有温度的售后服务。[任职资格]1.大专或以上学历，汽车相关专业优先；2.做事认真仔细，责任心强，对待工作积极主动；3.具有良好的服务意识、营销意识和沟通协调能力；4.持有驾驶证并熟练驾驶汽车者优先。</t>
  </si>
  <si>
    <t>售后技术实习生</t>
  </si>
  <si>
    <t>[岗位职责]1.为用户提供规范、专业的新能源汽车保养、维修、装潢等售后服务；2.接受永达新能源所代理的品牌产品的专业知识与技术培训，完成各阶段成长任务；3.根据产品维修手册，规范使用工具设备，有效准确地进行车辆维修，并记录维修工单；4.熟练掌握车间的专用工具和诊断设备，定期对工具设备进行检查调整、保养或维修；5.在车间主管的带领下，认真执行车间5S，并与各分工部门保持紧密的合作与沟通。[任职资格]1.大专或以上学历，汽车相关专业；2.做事认真仔细，责任心强，对待工作积极主动；3.具备一定汽修知识以及相关证书；4.持有驾驶证并熟练驾驶汽车者优先。</t>
  </si>
  <si>
    <t>新能源汽车产品专家 - 上海</t>
  </si>
  <si>
    <t>职位描述1、热情接待进店用户，专业、准确地向用户讲解永达新能源所代理的品牌与产品；2、提供专业、完善的试驾体验，提高用户对产品的认可，建立并维系用户关系；3、向用户传递永达新能源的核心价值观，提高用户对永达新能源的品牌认可；4、认真学习了解代理品牌及产品的相关知识，完成各阶段成长任务；5、积极围绕用户需求，执行落地用户活动，根据业务发展需求，完成分配的其他相关职责。职位要求1、大专及以上学历，市场营销及汽车相关专业优先；2、形象气质佳，平易近人；3、热爱汽车与科技。</t>
  </si>
  <si>
    <t>上海迪麦科能源科技有限公司</t>
  </si>
  <si>
    <t>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隶属于美国开利Carrier空调的ALC公司研发的WebCTRL系统是暖通自控BA行业最先进的系统之一，结合迪麦科公司多年的工程实践经验、强大的专业技术团队和大量数据中心案例，为各种类型数据中心用户提供设计完善、运行稳定、节能环保的BA系统的完整解决方案。上海迪麦科能源科技有限公司是万国数据、数据港、世纪互联等定制数据中心服务提供商的长期合作伙伴，为工商银行、阿里、微软、腾讯、百度和各地电信公司在北京、上海、深圳、广州、河源、杭州、南通、廊坊等地众多数据中心和云服务设施提供了完善的BA系统建设和技术服务。</t>
  </si>
  <si>
    <t>助理工程师</t>
  </si>
  <si>
    <t>现招聘常驻上海、南通、杭州、广东河源、北京、河北廊坊等地的若干技术人员，要求如下：1)大专以上学历，智能化、自动化、机电一体化、暖通空调、制冷等相关专业毕业；2)有1~2年以上的实际工作经验（应届毕业生无工作经验要求）；3)熟练掌握CAD设计和Office办公软件的应用；4)有志向在大型数据中心行业长期发展；5)吃苦耐劳，有长时间在施工工地艰苦环境下工作和学习的心里准备；岗位职责：1、负责楼宇自控系统的安装、调试与维护工作；2、熟悉并能够处理常见的楼宇自控设备问题，确保系统稳定运行；3、参与楼宇自控项目的实施，提供技术支持和解决方案。</t>
  </si>
  <si>
    <t>建筑电气与智能化,建筑智能化工程技术,供热通风与空调工程技术,制冷与空调技术</t>
  </si>
  <si>
    <t>建筑电气与智能化,建筑智能化工程技术,制冷与空调技术,供热、供燃气、通风及空调工程</t>
  </si>
  <si>
    <t>上海木圣网络科技有限公司</t>
  </si>
  <si>
    <t>木圣科技是一家从事3D虚拟现实的高新科技企业。主要是以3D制作，VR（虚拟现实），AR（增强现实）开发为核心业务。致力于国内外各个行业的虚拟现时内容定制服务和解决方案。</t>
  </si>
  <si>
    <t>项目经理助理</t>
  </si>
  <si>
    <t>1、协助项目经理一起确认项目开发范围，协助项目经理撰写相关软件项目文档；2、协助项目经理确保项目进程与质量，并将项目阶段性成果反馈给相关项目干系人；3、项目内部协调，了解项目管理进度、项目风险等工作；4、领导安排的其他工作；任职资格：1、吃苦耐劳，责任心强，抗压能力强；2、良好的协调、沟通能力，强烈的团队意识和协作精神，主动性和执行力强；3、学习能力强，细心认真，有一定的分析和总结能力；4、熟练使用办公软件，如Excel、Word等；5、计算机专业、软件工程相关专业优先考虑；</t>
  </si>
  <si>
    <t>项目管理</t>
  </si>
  <si>
    <t>闵行区吴泾第一幼儿园</t>
  </si>
  <si>
    <t>闵行区吴泾第一幼儿园创办于1983年，目前拥有枫桦园（大班部）、剑川园（中班部）、永德园（托小班部）三个园区，1998年被评为上海市一级园，先后荣获上海市平安示范单位、区文明单位、区教育系统优秀教工之家、优秀教工小家等荣誉称号；是闵行区“见习教师规范化培训基地”、“保育见习基地”。幼儿园始终以办一所“幼儿喜欢、家长认可、社区满意”的家门口好幼儿园为目标，确立“以美润心，和谐发展”的办园理念，旨在发挥美育丰富精神、温润心灵的作用，让每个孩子发挥多元充分的艺术潜质，展现艺术创作的才能，感受丰富多彩的生活之美，培养“健康活泼、自信乐群、好奇探究、具有良好艺术素养”的儿童。</t>
  </si>
  <si>
    <t>幼儿园育婴员、保育员。持有国家认可的《保育员》或《育婴员》职业资格证书（或职业技能等级证书）。·具备有效的《健康证》。·爱孩子是第一位！富有爱心、耐心、责任心和“眼观六路、耳听八方”的细心。·性格温和开朗，有亲和力，喜欢和孩子相处，沟通能力良好。·注重团队合作，积极主动，服从工作安排。·加分项（优先考虑）：·有幼儿园、托育中心或相关保育工作经验者。·学前教育、护理、幼师等相关专业毕业。·掌握基本的儿童急救知识（如持有急救证书）。</t>
  </si>
  <si>
    <t>日薪：0/天</t>
  </si>
  <si>
    <t>宋庆龄幼儿园</t>
  </si>
  <si>
    <t>宋庆龄幼儿园是以国家名誉主席宋庆龄女士的名字命名，宋庆龄幼儿园座落于充满生机的赵巷绿色生活居住园区和虹桥经济开发区。是一所致力于推广优质早期教育的知名国际学校。宋庆龄幼儿园隶属于宋庆龄创办的中国福利会的事业单位，是国内外享有盛誉的上海市优质示范幼儿园。宋庆龄幼儿园坚持“在教育过程中尊重与要求和谐统一”的教育理念，以发展孩子个性，开发孩子潜能，促进孩子整体和谐发展为核心，努力为孩子提供丰富适宜的课程、温馨开放的环境与敬业优秀的教师，以促进孩子的健康发展。宋庆龄幼儿园的孩子来自于世界35个不同国家和地区，中外孩子与老师共同生活在这个爱的摇篮里，幼儿园也由此被大家亲切地称为“小小地球村”。作为“地球村”中的小公民，孩子们在这里学会理解、包容与分享，而这一切将为孩子一生的优秀打下重要的基础。上海宋庆龄学校是宋庆龄夫人创建的中国福利会全资兴办九年制学校。宋庆龄学校坐落于青浦区业辉路，校园整洁大方，学校继承了有20年历史的宋庆龄幼儿园的优良传统，是一所精英双语学校。学校学生中外混合，以中英双语教学为特色。宋庆龄幼儿园、宋庆龄学校秉承宋庆龄“把最宝贵的东西给予儿童”的教育思想，培养孩子宽阔的胸襟、活跃的思维、好学的态度、开阔的国际视野和文明的行为习惯。中国福利会为坚持衔接发展的模式，通过两所园校的联动发展，进一步开展“幼小衔接”和“小初衔接”的科研工作，探索幼儿园教育和学校教育的无缝隙整体衔接问题，促进孩子的和谐发展。</t>
  </si>
  <si>
    <t>工作内容：一线班内跟班保育员要求：保育专业毕业，身体健康，热爱幼儿保育工作</t>
  </si>
  <si>
    <t>全案设计师</t>
  </si>
  <si>
    <t>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橱柜等搭配方案，跟进及协调客户订单完成；4、按照公司销售服务标准为客户提供优质服务，提升品牌形象；5、了解客户对公司产品及各环节服务评价或期望并反馈给公司及上级，为提升客户消费体验提供改进方向；6、更新公司硬装柜体方案模板，为客户提供更多优质的设计选择；7、能独立上门量尺寸，现场沟通；8、有家具销售经验者优先；9、具备良好的团队合作精神，有责任心，进取心；10、遵纪守法，有职业道德，并遵守公司各规章制度；11、完成上级下达的各项工作指令。任职要求：1、20岁以上，男女不限；艺术设计类大专以上学历；2、1年以上全案设计工作经验，硬装经验丰富优先录取；3、具备较好的空间感、色彩搭配能力、较高的悟性，能熟练使用autocad、Photoshop、PPT、酷家乐等设计软件优先考虑；4、熟悉各种装饰风格，具有良好的艺术修养，对软装设计行业有较强敏感度及充满极大的热情；5、工作细心，有条理，效率高，沟通、协调能力强。工作时间：做六休一，早上9:30-下午18:30；工作地点：上海市闵行区颛桥镇光华路158号（宝盖头家居）；福利待遇：五险一金，生日红包（蛋糕），团建活动，节日礼品，带薪年假，每日还可享受现磨咖啡。</t>
  </si>
  <si>
    <t>月薪：9K-15K</t>
  </si>
  <si>
    <t>家具设计与工程,产品设计,建筑设计,建筑室内设计</t>
  </si>
  <si>
    <t>Unity开发工程师</t>
  </si>
  <si>
    <t>1、大三或大四在读学生，软件工程、计算机技术相关专业；2、熟悉Unity引擎，有用Unity自行开发过小型项目者加分；3、会使用C#语言，有良好的面向对象编程习惯；4、对设计模式有一定了解，熟悉UGUI/NGUI加分；5、有学习热情、良好的职业规划；</t>
  </si>
  <si>
    <t>智能制造工程,计算机科学与技术,工业机器人技术</t>
  </si>
  <si>
    <t>3D建模师</t>
  </si>
  <si>
    <t>1.对VR有浓厚兴趣2.美术或艺术类相关专业，大三或者大四在校生；3.对PSMaya3DMax其中的软件有了解，能够独立完成道具建模工作；4.良好的职业道德和文化素养，踏实肯干，能够承受一定的压力；</t>
  </si>
  <si>
    <t>文化创意与策划,智能工程与创意设计</t>
  </si>
  <si>
    <t>月薪：1K-3K</t>
  </si>
  <si>
    <t>汽车运用与维修技术,汽车检测与维修技术,汽车服务工程</t>
  </si>
  <si>
    <t>上海星微源科技有限公司</t>
  </si>
  <si>
    <t>上海星微源科技有限公司是一家民营高技术公司，从事高端应用领域（航空、航天、医疗、高端仪器）用高可靠电源、物理电子器部件及其系统集成的技术研发，相关技术基础国内领先。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源和系统发展。</t>
  </si>
  <si>
    <t>电源研发岗</t>
  </si>
  <si>
    <t>硕士</t>
  </si>
  <si>
    <t>详细岗位职责(符合下列任一要求即可应聘)1，负责开关电源、射频电源开发设计、调试和验证等工作，包括电路设计、器件选型、电路仿真、技术资料编制等；2，负责磁性元件的设计选型及性能改善；3，从事DC/DC或AC/DC模块电源产品的硬件电路设计、售前、售后技术支持等工作。任职资格理论知识1，电力电子技术2，功率射频技术3，电源拓扑理论知识4，模拟电路5，数字电路6，自动控制原理专业技能1，熟悉常见开关电源拓扑，包括Buck，Boost,反激等。2，熟悉模拟电路设计，包括LDO、运算放大器；3，熟悉AltiumDesigner、Cadence等一种或多种设计软件；4，熟悉PSIM、Simplis/Saber、Matlab等一种或多种电力电子仿真软件；5，能够熟练使用示波器、信号发生器等仪器仪表，具备实际的硬件电路分析、调试等操作经验。6，具有MCU、DSP等微控制器开发电源经历者优先。素质要求分析解决问题能力，严谨性，逻辑能力，目标意识，抗压能力</t>
  </si>
  <si>
    <t>日薪：250-400/天</t>
  </si>
  <si>
    <t>机械电子工程,电气工程及其自动化,电子信息工程,电力电子与电力传动,电子电路设计与工艺,电子与信息,新一代电子信息技术(含量子技术等)</t>
  </si>
  <si>
    <t>电子综合岗</t>
  </si>
  <si>
    <t>详细岗位职责(符合下列任一要求即可应聘)1）开关电源及线性电路设计；（设计岗，本科及以上）2）嵌入式开发；（设计岗，本科及以上）3）真空物理电子学器件研发；（设计岗，本科及以上）3）结构设计；（设计岗，本科及以上）4）电子装联电子产品调试、测试（含微组装）；（工艺师岗，本科及以上）5）电子产品调试、测试、环境试验。（操作岗，大专以上）任职资格理论知识1）模电、数电（FPGA、DSP，VHDL、C编程）、开关电源；2）嵌入式开发（C编程）；3）物理电子学、微波电子学4）热、力有限元仿真；5）机械制图；6）电子装联工艺。专业技能1）模电、功率电路设计、仿真；2）VHDL编程、单片机编程；3）ADS、HFSS等软件应用；4）电子光学、注波互作用软件应用；5）机械设计(Pro/E、Ug、Solidworks、AutoCAD等机械设计软件)与装配；6）热、力、电磁学有限元仿真；7）电子装联工艺实操，产品调试、试验实操。素质要求分析解决问题能力，严谨性，逻辑能力，目标意识，抗压能力</t>
  </si>
  <si>
    <t>日薪：180-300/天</t>
  </si>
  <si>
    <t>机械电子工程,电子信息工程,航空电子电气技术,电子信息工程技术,应用电子技术</t>
  </si>
  <si>
    <t>人事行政助理</t>
  </si>
  <si>
    <t>工作职责：1，统计每日考勤情况，并且确认缺勤员工信息2，行政物品采购，报销及供应商对接3，协助招聘工作4，合同档案管理5，员工花名册更新任职资格：1，大专及以上学历，接受在校应届生2，细心，有恒心，愿意在人事行政板块深入发展（有专业的导师帮助设计IDP个人成长计划）未来培养方向为HRBP</t>
  </si>
  <si>
    <t>日薪：150-250/天</t>
  </si>
  <si>
    <t>企业管理（含：财务管理、市场营销、人力资源管理）</t>
  </si>
  <si>
    <t>电装工艺岗</t>
  </si>
  <si>
    <t>详细岗位职责1，电子装联电子产品调试、测试（含微组装）；（工艺师岗，大专及以上）2，电子产品调试、测试、环境试验。（操作岗，大专以上）任职资格理论知识1，电子装联工艺。专业技能1，电子装联工艺实操，产品调试、试验实操。2,会使用电烙铁素质要求分析解决问题能力，严谨性，逻辑能力，目标意识，抗压能力</t>
  </si>
  <si>
    <t>电子信息工程,机械电子工程,微电子科学与工程,电子封装技术,电子信息科学与技术</t>
  </si>
  <si>
    <t>岗位职责：·顾客服务与销售：·热情接待每一位顾客，提供专业、耐心的咨询和穿搭建议。·洞察顾客需求，达成销售目标，并积极维护客户关系。·处理顾客的疑问和售后问题，提升顾客购物满意度。·店铺日常运营：·负责商品收货、盘点、陈列、补货和库存管理。·保持店铺环境整洁、美观，营造舒适的购物氛围。·熟练操作收银系统，完成每日销售结算工作。·团队协作：·与团队成员紧密合作，共同完成店铺销售目标和各项任务。·积极参与公司培训和团队会议，分享销售技巧和时尚资讯。·品牌形象维护：·以身作则，展现品牌的时尚形象和专业素养。·及时反馈市场信息和顾客意见，助力品牌成长。任职要求：·必备条件：·热爱时尚行业，对服装搭配有浓厚的兴趣和独特的见解。·性格开朗，具有良好的沟通表达能力和服务意识。·积极主动，有责任心，具备良好的团队合作精神。·能适应零售业周末、节假日的工作安排。·优先考虑：·有服装零售或相关销售工作经验者优先。·具备一定的抗压能力和目标导向思维。</t>
  </si>
  <si>
    <t>上海中航光电子有限公司</t>
  </si>
  <si>
    <t>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小尺寸显示领域的领军企业。全球中小尺寸主流智能机市场占有率快速翻升，位居全球第三，国内第一。未来的天马将以发展我国平板显示器产业为己任，努力将天马建成一个高技术、高效益、国际化的现代化大型企业集团,成为全球平板显示领域的领先企业。上海中航光电子有限公司隶属于天马集团，由中国航空技术国际控股有限公司和中国航空技术深圳有限公司共同出资组建，于2009年12月11日在上海市闵行区莘庄工业区注册成立，总投资16亿元人民币，总占地面积约20万平方米。公司专业从事液晶显示屏及模块的设计、研发、制造、销售及售后服务。生产用于液晶显示器、笔记本电脑、液晶电视、数码影音、车载GPS、工控医疗产品等多种型号的显示屏及模块。文化氛围：在公司“激情、高效、共赢”核心价值观的引领下，天马人以热情、阳光的心态做事，以务实、高效的方式工作，尊重人、培养人，为有意愿、有能力的员工提供发展平台，激发员工的潜能、成就员工梦想，让每一个天马人都能快乐工作、幸福生活。</t>
  </si>
  <si>
    <t>储备技术员</t>
  </si>
  <si>
    <t>电子设计电子信息、电子科学与技术、信息与通信工程、物理、光学等　阵列设计电子信息、材料、物理、自动化、微电子电路设计物理、电子信息、材料、自动化、微电子结构设计机械、自动化、力学、材料、仪器、航空航天等理工类　光学设计材料、化学、光学、物理、电子信息、微电子等　传感器工艺(1550)工艺技术岗自动化、材料、化学、机械、仪器、力学等理工类CIM岗计算机、信息管理、自动化、电子信息等制造支持岗计算机、机械、自动化、电子信息、工业工程等　　设备岗自动化、机械、材料、仪器、电气等理工类质量岗材料、化学、仪器、光电、机械等理工类　厂务岗化学、环境、电气、机械、能源与动力等环安岗安全工程、化工、消防、电气、机械等理工类　　　</t>
  </si>
  <si>
    <t>机械设计制造类,电子信息类</t>
  </si>
  <si>
    <t>中信泰富（上海）物业管理有限公司</t>
  </si>
  <si>
    <t>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t>
  </si>
  <si>
    <t>采购部实习生（2026届）</t>
  </si>
  <si>
    <t>1.采购合同归档，供应商资料建档；2.采购系统内各项基本档案的建立，系统内门店订单的处理；3.订货数据的核对，订货单据的审核、保管、归档；4.货品及规格、价格、有效期等的录入，不定期维护和修正；5.日常对账，建立供应商往来明细，确保账实相符；6.对盘点数据进行跟进、核对，及时、准确维护库存管理系统；7.协助参与重要采购业务的的谈判，采购合同的起草，审核及签订工作;8.协助采购经理完成采购流程的建立与完善，采购方针，策略的制定等;9、公司交办的其他任务。</t>
  </si>
  <si>
    <t>航天八院一四九厂</t>
  </si>
  <si>
    <t>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企业承担“弹、箭、星、船、器”共30多个型号产品的研制生产任务，为我国航天事业的发展做出了卓越贡献，获得了全国五一劳动奖状、中国载人航天工程突出贡献集体、载人航天先进集体、上海市文明单位等诸多荣誉称号。邓小平、江泽民、胡锦涛、习近平等党和国家领导人先后莅临企业视察，并予以高度评价。企业以“发展航天事业、建设航天强国”为己任，在圆满完成各军品型号科研生产任务的同时，聚焦复合材料与智能制造两大方向，整合组建航天科瑞工业研究所及四大产业平台，加快推进产品孵化及产业化。企业坚持发展具有宇航特色的先进制造技术，依托雄厚领先的核心技术，构建了“十大制造中心”，在大型构件精密数控加工、热表处理、特种焊接、系统集成总装总测、电装调试试验、复合材料加工、高端工艺装备研发等领域的技术能力处于国内领先地位。同时，企业努力发展具有自主知识产权产品的航天技术应用产业，拥有高水平的产品孵化及研发能力。企业建成5个国家级创新平台、25个省部级平台，拥有先进的工艺装备、国际一流的仪器设施，在火箭总装自动化对接装配、特种焊接、复合材料加工、热表处理、3D打印装备研发与工程运用等领域的技术能力处于国际或国内领先水平。企业坚持以人为本，培育形成以行业高端人才为支撑的多层次人才梯队。企业本级从业人员1400余人，工程技术人员600余人，拥有硕士及以上高学历人员300余人，其中博士、博士后23人；享受国务院津贴6人，国家“万人计划”青年拔尖人才1人，上海领军人才1人，集团公司级专家11人次，省部级以上技术能手50人次。拥有一个国家级技能大师工作室。特聘院士2名担任企业高级技术顾问，建立了先进连接技术、航天制造技术、航天测试技术等方向的硕士研究生培养点。伟大的事业，光荣的使命，我们热忱期盼您加入我们的队伍，愿我们携手共进，创人类航天文明，铸民族科技丰碑！【需求专业】电气工程、自动化、控制科学与工程、飞行器设计、机械电子工程、机械制造及其自动化、机械设计及理论、化工机械、动力工程、航空宇航制造工程、材料加工工程（电子封装、焊接、塑性成型、铆接）、计算机科学与技术、软件工程、信息与通信工程、表面工程等。【薪酬福利】单位提供全面、优厚的薪酬福利，包括：住房基金、一次性安置费、航天人才公寓、集体宿舍或租房补贴、交通补贴、公务出行补贴、通信补贴、就餐补贴、带薪休假、疗休养计划等；在国家规定五险一金之外，额外享有补充公积金、企业年金和补充医疗保险等。博士：年薪27-35万元以上，住房基金36万元；硕士：年薪20-25万元以上，住房基金18万元以上；本科：年薪12-15万元以上，住房基金12万元以上。企业薪酬分配以绩效为依据，其中需求岗位中涉及电气、自动化、控制科学、计算机科学与技术、软件工程、信息与通信、电子封装、飞行器控制等紧缺专业的，起薪另增加2万元。通过项目绩效制、专项课题津贴等多种分配形式，实现员工收入与职业发展同步提升。具有工作经验的成熟人才，待遇从优，具体面议。</t>
  </si>
  <si>
    <t>阀门装配试验工</t>
  </si>
  <si>
    <t>任职要求：机械或机电一体化专业，大专学历，高级工等级，具有较好的理论基础和扎实的技能水平，有扎实的钳工基本功，认真严谨仔细，能适应出差，从事航天阀门或导管、总体装配试验工作。</t>
  </si>
  <si>
    <t>月薪：8K-10K</t>
  </si>
  <si>
    <t>上海亿力电器有限公司</t>
  </si>
  <si>
    <t>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有128000平米的生产基地，是国内吸尘器、高压清洗机大型生产制造基地之一，拥有200余项技术专利。公司曾先后获得上海市科技小巨人企业、上海专利工作先进单位、高新技术企业、专·精·特·新、嘉善独角兽企业等多项荣誉称号。亿力电器坚守实体经济，重视人才，坚持自主创新发展之路，将在清洁领域持续发力，研发更多科技产品，不断满足全球消费者追求清洁，追求美好生活的向往。</t>
  </si>
  <si>
    <t>岗位职责：1．负责公司电商平台店铺的在线客服接待，提供及时、专业的售前与售后服务；2．准确理解客户需求和产品信息，确保回复内容清晰、无误，避免因信息传达错误导致的客户流失或投诉；3．日常收集整理客户反馈，包括登记客户问答、邀请客户评价、了解退换货原因，并处理客户投诉及安抚工作；4．与运营、技术、仓储、售后等人员保持顺畅沟通，及时传达活动安排，库存变化、产品更新等相关信息；5．尝试从对话中发现客户的真实需求或困惑，并将有价值的反馈传递给产品或运营团队；6.负责售后货物的信息核对、收货登记及入库相关流程，并定期汇总售后货物的情况；7.参与客户体验优化相关工作，如服务流程规范，客服话术更新、服务满意度提升等。岗位要求：1．2026届毕业生，大专及以上学历，专业不限；2．具备良好的沟通能力和团队合作意识；3.工作认真负责，有较强的学习能力和责任心；4．熟练使用办公软件：打字速度60字/分钟，熟悉办公软件及网络工具。</t>
  </si>
  <si>
    <t>日薪：120-180/天</t>
  </si>
  <si>
    <t>上海新力动力设备研究所</t>
  </si>
  <si>
    <t>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多年来始终跟踪国外固体发动机技术的发展，注重技术创新，取得了多项填补国内空白的创新技术成果。在科研基础设施配套、技术研究领域、创新体制建立等方面取得重大突破，获得丰硕成果。现有从业人员900余人，拥有各类专业技术人员500余人，形成了一支高素质的设计、工艺、质量、生产人才队伍，拥有较强的设计开发和加工制造能力，先后获得国家级发明奖、科技进步奖和重要成果奖等160余项。目前已形成了人才层次高、研发能力强、技术手段先进、质保体系有效和管理科学高效的良性运行态势，为国防现代化建设和航天事业发展做出了重要贡献。我所把人才视作单位的第一资源，倡导事业留人、感情留人、待遇留人。为员工创造了良好的工作环境，规划了员工职业发展通道；同时为员工创造了良好的工作氛围，关心员工的生活、情感与家庭，创造了团结互助的风气。希望通过全所员工的努力拼搏，不断提升动力所的效益，提高员工的待遇，使全体员工共同享受体面的单位、体面的工作、体面的生活。</t>
  </si>
  <si>
    <t>机电维修</t>
  </si>
  <si>
    <t>机电维修、高压电工值班等工作，并完成领导领导交办的其他任务</t>
  </si>
  <si>
    <t>主动营销</t>
  </si>
  <si>
    <t>要求：1：依托公司平台开发新客户，日常电话，邮件等多种方式开发及跟进海外客户。2：熟练运用各种搜索平台，能独立开发客户3：可熟练阅读和收发国外邮件，大专及以上学历，有较好的英文沟通能力4：良好的沟通，计划，执行及时间管理能力，具备较强的团队精神，工作认真，责任心强5：良好的文字功底，较强的网站专题策划和信息采编能力工作内容：1）社交媒体（FB,linkedin）新客户的开发2）老客户的维护</t>
  </si>
  <si>
    <t>电子商务,跨境电子商务,电子商务技术,电子商务类</t>
  </si>
  <si>
    <t>文案实习生/英语编辑实习</t>
  </si>
  <si>
    <t>要求：1：有扎实的文字功底，中文，英文，编辑，媒体，市场营销，广告，汉语言文学专业皆可2：英语四级以上3：电脑使用熟练，能熟练操作各类办公软件工作内容：1：社交媒体日常文章的更新2：SEO文章的更新需求人数：2-4人女生优先备注：一天至少要写2-6篇原创文章（非AI写的文章），不符合要求的会需要修改，接受不了要修改的不要投</t>
  </si>
  <si>
    <t>汉语言文学,英语,商务英语,英语语言文学,编辑出版学,新媒体艺术,市场营销,广告学</t>
  </si>
  <si>
    <t>视频制作/运营/拍摄</t>
  </si>
  <si>
    <t>1）数字媒体，影视，视觉传达相关专业优先，有短视频制作经验优先2）了解镜头语言，熟练操作剪映，PR,PS,AE等视频及图片处理软件3）网感好，对短视频算法有一定了解4）良好的沟通，计划，执行及时间管理能力，具备较强的团队精神，工作认真，责任心强5）大专在读及以上学历，拥有大学英语四级优先6）熟练使用PR/AE/AU等专业剪辑后期软件，以及剪映工作内容：抖音/小红书/视频号/youtube/ins/tiktok平台视频的制作，发布以及运营需求人数：2-4人，男生女生皆可备注：一天要剪辑3-6个20S以上的视频，不符合要求的需要修改，接受不了要修改的不要投</t>
  </si>
  <si>
    <t>数字媒体艺术,影视摄影与制作,影视技术,视觉传达设计,视觉传播设计与制作</t>
  </si>
  <si>
    <t>要求：（该岗位需要较高的制图能力，有经验者优先）1）专科以上学历视觉传达等艺术专业在校生大三大四实习生2）熟悉使用AIPs等平面设计软件（会3DC4dPrAe优先）3）协助团队完成公司简单设计工作4）良好的审美，乐于学习新鲜事物，沟通能力和团队协作能力较强5）上海在校学生/艺术设计学院工作内容：1）每天要做6-8套小红书图文笔记（每套不少于4张图）或者6-8套ins笔记（每套不少于4张图）或者pinterest6-8套ins笔记（每套不少于4张图）2）日常的简单的网站设计，banner设计，图片设计，PPF或者画册设计需求人数：2-4人，男生女生皆可备注：不符合要求的需要修改，接受不了要修改的不要投</t>
  </si>
  <si>
    <t>艺术设计学,视觉传达设计,设计艺术学,艺术设计,视觉传播设计与制作,数字媒体艺术设计,工艺美术品设计</t>
  </si>
  <si>
    <t>上海航天电子通讯设备研究所</t>
  </si>
  <si>
    <t>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务院政府特殊津贴专家43人，现有上海市领军人才4人，各级学术技术带头人、后备专家147人，高级职称548人，博士、硕士900余人。八〇四所是从事制导雷达、空间遥感载荷、测控通信、综合电子等分系统及各类电子产品研发、制造和系统集成的专业技术研究所，产品覆盖弹、箭、星、船、器各领域，集研发、设计、生产、试验、服务于一体，是航天高新技术开发、研究、应用的重要单位。八〇四所秉承“融合、进取、创新、卓越”的文化理念，不断深化“企业化、市场化、产业化、国际化”转型，努力打造国内一流航天电子小产业集团，跻身国际同类企业先进水平，实现企业和人的全面发展。我们热忱欢迎有志青年的加入，共创航天事业新的辉煌。</t>
  </si>
  <si>
    <t>电讯装配岗（大专实习）</t>
  </si>
  <si>
    <t>岗位职责：按照装配图纸和制程工艺进行印制板、元器件的手工电讯装配；对电子元器件、印制板、电缆、机柜等进行检验。岗位要求：1.具有较好的电路知识；2.具有一定的动手能力；3.工作细致、责任心强，身体健康、能吃苦耐劳；4.具有良好团队意识和沟通协调能力；5.具有无线电装调类职业资格证书优先。</t>
  </si>
  <si>
    <t>空调维修实习工程师</t>
  </si>
  <si>
    <t>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t>
  </si>
  <si>
    <t>日薪：150-180/天</t>
  </si>
  <si>
    <t>制冷与空调技术</t>
  </si>
  <si>
    <t>空调维修工程师</t>
  </si>
  <si>
    <t>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该岗位招募实习生，实习期间月薪3000+500全勤奖+500饭贴。</t>
  </si>
  <si>
    <t>月薪：7K-8K</t>
  </si>
  <si>
    <t>菁茼（上海）教育科技有限公司</t>
  </si>
  <si>
    <t>菁茼（上海）教育科技有限公司｜致年轻伙伴的一封信嘿，未来的“电竞筑梦人”：我们是菁茼（上海）教育科技——一群深耕电竞产业的“玩家”，也是一群想为年轻人搭舞台的“造梦者”。如果你问我们是谁？我们是​​电竞教育领域的“实战派”​​：和20+高校深度合作，把课堂搬到真实赛场，带学生边学赛事策划、电竞运营，边参与千万级流量赛事执行；从游戏解说到数据分析师，我们用产业需求定义“人才标准”。我们是​​电竞赛事的“操盘手”​​：从城市商圈的小型擂台到跨区域顶级联赛，我们让电竞赛事不止于“打游戏”——它可以是文旅地标的热闹夜市，可以是品牌联名的潮流派对，甚至能为公益发声。我们是​​电竞商业的“造景师”​​：在多地打造“电竞+潮玩+直播”的沉浸式综合体，年轻人来这里看比赛、买周边、交朋友，企业来这里找灵感、做活动。未来3年，我们要把这种“电竞版城市客厅”复制到全国——而你，可能是第一个参与设计它的人。在菁茼，没有“论资排辈”的规矩，只有“敢想敢拼”的伙伴。我们的团队平均年龄不到28岁，因为我们都相信：​​电竞的未来，该由年轻人自己定义​​。为什么选择我们？​​*不是“打杂岗”，是“核心战位”​​：你的每一项工作都直接关联“人才培养结果”——你推广的高校越多，学电竞的孩子越有机会；你招的生越精准，未来产业人才缺口越小；你执行的越到位，学员的就业口碑越好。*​​资源和人脉“直接拉满”​​：我们有20+高校合作资源、职业选手/企业高管组成的导师团——你不仅能快速积累行业经验，还能直接和“大佬”学实战技巧。*​​团队氛围“像电竞一样燃”​​：团队平均年龄28岁，没有职场套路，只有“一起拼”的热血。*​​成长速度“远超想象”​​：从执行到独立负责高校项目，最快6个月；从“招生新手”到“区域推广负责人”，1年就能独当一面；表现优秀的你，还能参与创业扶持基金项目，用你的创意孵化新的电竞教育产品。我们在找这样的你：▫️热爱电竞（不一定是顶级玩家，但要懂行业逻辑）；▫️擅长沟通（能和学生打成一片，也能和高校老师高效对接）；▫️爱折腾（不怕跑校园、不怕做方案，能把“不可能”变成“我能行”）；▫️有目标感（想在这个岗位深耕，和公司一起成长为电竞教育领域的“标杆者”）。加入我们，你将获得：✨直接参与“电竞教育落地全流程”的实战机会；✨行业导师+高校对接人的1对1带教；✨高额项目奖金+季度评优奖励；✨和一群“懂电竞、爱教育”的伙伴，做一件“既酷又有意义”的事。​​这不是“打工”，是“一起造未来”——​​你在高校里每一次宣讲，都可能改变一个学生的职业选择；你执行的每一场活动，都可能为电竞产业输送一个“能用”的人才；你成长的每一步，都在见证中国电竞教育的从0到1。现在，我们需要你！</t>
  </si>
  <si>
    <t>课程专员</t>
  </si>
  <si>
    <t>菁茼（上海）教育科技｜课程专员（电竞教育方向）职位描述工作地点：上海（总部，需定期赴合作院校/企业调研）汇报对象：电竞教育课程研发负责人核心职责1.课纲与教材开发的辅助支持​•协助课程组专家完成电竞课纲/教材的基础搭建：根据专家确定的课程方向（如“电竞运营”“赛事解说”），收集行业资料（赛事规则、企业岗位JD、最新游戏版本更新等），整理成结构化素材包供专家参考；•参与教材初稿的内容校对与优化：协助检查教材逻辑连贯性、案例时效性（如替换过时赛事数据为新赛季案例），标注学生易混淆知识点，配合专家完成一轮轮修订；•跟踪课程试点反馈：协助专家收集合作院校的课堂反馈（如学生提问高频点、教师教学难点），整理成《课程优化建议清单》，为专家迭代内容提供数据支撑。2.院校与企业需求的翻译与传递​•对接合作院校的教师与学生：通过访谈、问卷收集教学痛点（如“学生缺乏赛事执行实操机会”“理论课太枯燥”），转化为专家能理解的“需求关键词”（如“增加沙盘模拟环节”“插入短视频制作案例”）；•对接用人企业（如电竞俱乐部、直播平台）的HR与业务负责人：梳理企业真实岗位技能要求（如“赛事直播控场能力”“俱乐部舆情管理能力”），整理成《企业需求简报》提交专家，辅助其调整课程模块（如增设“直播实战演练”“舆情应对模拟”）；•协助课程组专家完成“产教融合”对接：参与企业导师的课程试讲安排、校企联合教研会的组织（如预定会议室、准备材料、记录会议纪要），确保专家与企业导师的沟通高效顺畅。3.教学资源的辅助整理与输出​•协助专家开发配套教学资源包：整理企业提供的真实项目文档（如赛事策划案、选手合同模板）、赛事直播录屏（经授权后剪辑成教学片段）、行业报告摘要（如《2025电竞教育白皮书》核心数据）等，按课程章节分类归档；•支持课程数字化工具的辅助工作：协助将专家编写的课件转化为线上平台可用的互动模块（如插入选择题、讨论区），测试课程视频的播放流畅度，确保学生端学习体验良好；•协助制作课程宣传物料：根据专家提供的课程亮点（如“企业真实项目贯穿教学”“前职业选手一对一指导”），撰写课程推广文案（用于院校宣讲、企业合作推荐），配合设计课程海报/手册。任职要求​1.基础门槛：大专及以上学历，专业不限（电竞、教育、传媒、体育等相关专业优先）；2.核心特质：•细致耐心：能高效处理大量素材（如整理200+页的行业报告、核对50+个案例的准确性），注重细节（如避免教材中出现数据错误、课纲逻辑漏洞）；•学习力强：对电竞行业有基础兴趣（如关注赛事、了解游戏项目），愿意快速学习专业知识（如赛事规则、俱乐部运营模式），并能将所学转化为辅助专家的“有用信息”；•沟通桥梁：擅长沟通，能理解上下游需求；•执行力在线：能高效完成课程组负责人交办的任务。3.加分项​（有则更匹配）：•有课程/教材辅助开发经验（如协助过教师整理教案、参与过教材校对）；•是电竞爱好者（如担任过校园电竞社干事、参与过赛事直播弹幕互动、熟悉主流游戏版本）；•具备基础办公软件技能（Excel数据整理、PPT图文排版、剪映视频剪辑）。我们为你提供​1.成长机会​：近距离接触电竞教育领域专家（前职业选手、高校教授、企业高管），快速积累行业认知与课程开发底层逻辑，未来可向“独立课程开发”或“课程运营”方向转型；2.资源支持​：•专家一对一指导：直属领导为课程研发负责人（10年教育行业经验），每周固定时间解答你的疑问，手把手教你“如何高效辅助课程开发”；•一线调研权限：跟随专家走访合作院校/企业（如株洲某体育学院、成都某电竞俱乐部），实地观察教学场景与企业需求，深化对电竞教育的理解；•薪酬福利：底薪+项目协助绩效（按课程开发进度/院校采纳率结算）+五险一金+免费参与公司组织的电竞赛事观赛、行业峰会；投递说明​•简历需体现：1.过往协助类工作案例（如有，如“协助教师整理教案”“参与社团活动策划支持”）；2.对“辅助他人完成目标”的理解（可附短文，如“我认为协助工作的关键是______”）；3.与电竞/教育相关的兴趣或经历（如“在校期间担任电竞社宣传委员，负责整理赛事资料”）。我们相信：​​优秀的协助者，是菁茼最得力的“左膀右臂”。你不需要是“课程开发大神”，但需要有一颗“把事做细、把需求传准”的匠心；你不需要独立完成教材，但需要用你的细心与热情，为专家的“创作”添砖加瓦。在这里，你的每一份整理的素材、每一份反馈的报告、每一次对接的协调，都将成为电竞教育课程的重要基石。期待与“细心、耐心、有热情”的你，一起成为电竞教育课程的“幕后筑梦人”！——菁茼（上海）教育科技电竞教育板块</t>
  </si>
  <si>
    <t>院校拓展助理</t>
  </si>
  <si>
    <t>菁茼（上海）教育科技｜院校拓展助理（电竞教育方向）职位描述工作地点：BASE上海，覆盖5城：株洲、珠海、滨州、苏州、成都（需频繁出差）汇报对象：电竞教育板块区域负责人核心职责​1.目标院校开发与关系维护​•负责湖南株洲、广东珠海、山东滨州、江苏苏州、四川成都5地目标院校（民办职校/中专/技校/大专为主）的拓展与对接；•深入调研院校需求（如专业共建、兴趣班开设、学生就业出口等），结合菁茼电竞教育资源（课程体系、职业认证、企业实习等），定制“院校-企业”合作方案；•维护院校高层、二级学院院长、专业带头人等关键决策人关系，定期拜访并推进合作进度。2.电竞专业/兴趣班合作落地​•推动院校与菁茼签订《电竞专业共建协议》或《兴趣班合作协议》，协调完成课程大纲制定、教材引入、师资培训（公司提供职业讲师+高校教师双轨支持）等前期筹备；•配合院校完成招生指标，设计“电竞专业/兴趣班”专属招生简章，协同高校开展线上线下宣讲（如校园讲座、电竞体验赛、企业导师进课堂等活动）；•跟进合作项目全周期：从签约到开班、教学执行（协调公司师资/设备/赛事资源）、学生实习就业（对接公司合作企业资源）至口碑反馈，确保合作质量。3.跨部门协调与事务处理​•对接公司内部电竞教育课程研发、师资运营、品牌市场等部门，传递院校需求并推动资源落地（如定制化课程开发、企业导师排期等）；•处理院校与合作中的日常事务（如协议盖章、费用结算、突发问题协调），确保信息同步及时、流程高效；•定期输出《区域院校拓展周报/月报》，分析合作进展、竞品动态及院校需求变化，为区域策略调整提供数据支持。任职要求​我们不设“硬门槛”，但需要你——​✅有“想做”的热情：•对电竞行业有基础认知（至少看过电竞赛事、了解电竞产业链），认同“电竞教育”的价值（能让更多学生从“游戏玩家”变成“产业从业者”）；•愿意为目标“死磕”：拓展院校时可能遇到拒绝、冷淡甚至质疑，但你始终保持积极心态，把“被拒绝”当“找机会”，把“没谈成”当“攒经验”。✅有“能做”的潜力：•沟通能力在线：能和学生聊电竞热点，和老师聊教学需求，和领导聊合作价值——哪怕是第一次接触，也能快速找到对方关注点；•学习能力够强：电竞教育是新兴领域，公司会提供全套培训（合作方案、课程体系、谈判技巧），你需要快速吸收并转化为自己的“谈单武器”；•抗压能力达标：每月长时间驻外（5城灵活调配），能适应早出晚归的拜访节奏，能保持效率。✅有“愿做”的行动力​：•主动性强：不等任务“砸过来”，自己会主动梳理目标院校清单、规划拜访路线、复盘失败案例；•结果导向：不满足于“聊过”，更追求“谈成”——从第一次接触到达成合作，你能盯紧每个关键节点（比如约见关键人、解决院校疑虑、推动签约）。我们更看重的“隐形加分项”（有则更匹配）•电竞爱好者：打过游戏、追过赛事、混过贴吧/超话，甚至自己组过战队/当过解说——和你聊电竞教育时，眼睛会发光；•教育相关经验：哪怕是家教、校园社团负责人、教育机构兼职，只要你接触过“和学生/老师打交道”，就是加分项；•5地本地资源：在株洲/珠海/滨州/苏州/成都有同学、亲友或教育行业人脉（比如认识某高校辅导员、学生会主席），能帮你快速打开局面。我们为你提供​•成长空间：区域核心拓展岗位，直接参与电竞教育从0到1的区域布局，快速积累教育行业+电竞产业复合经验；•资源支持：公司提供成熟的合作方案模板、院校资源库（含5地目标院校名单及对接人信息）、课程/师资/就业全链条支持；•薪酬福利：底薪+高额拓展提成（按合作院校数量/规模结算）+差旅补贴（覆盖住宿/交通/餐饮）+五险一金；•团队氛围：直属领导为一线拓展出身，团队成员平均年龄28岁，“老带新”机制完善，拒绝职场内耗。投递说明​•简历需体现：过往院校/教育行业拓展案例（如有）、对电竞教育的理解、能接受长期出差的具体说明。我们在找的，不是一名“出差专员”，而是能扎根区域、真正撬动院校资源的“电竞教育合伙人”——​你的每一次拜访，都可能为当地学生打开一扇“电竞职业”的大门；你的每一份努力，都在推动菁茼成为区域电竞教育的标杆。期待与敢闯、敢拼的你，一起种下“电竞教育”的种子！</t>
  </si>
  <si>
    <t>上海浩泊澜文化传媒有限公司</t>
  </si>
  <si>
    <t>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自成立以来，游匠始终站在电竞行业的最前沿，依托强大的技术支撑和丰富的平台资源，构建涵盖内容创作、形象塑造到粉丝运营的完整孵化体系，全方位助力达人与员工成长，让每个成员都能绽放光芒。在这里，我们坚信“内容为王，人才为本”。因此，我们不仅注重内容的创新与多元化，更重视每一位员工的潜力与创造力。我们帮助达人拓宽影响力边界，实现商业价值，达人帮助我们实现个人价值的双重飞跃。自成立以来，游匠已与多家顶级平台达成战略合作，屡获行业重磅奖项。作为连接达人和平台的桥梁，我们始终以用户为核心，优化观看体验，构建积极向上的社区生态。我们鼓励正能量传播，倡导健康文化，让每一天工作都成为传递快乐、分享生活的美好时刻。展望未来，游匠将持续探索行业的无限可能，携手有志之士共创直播传媒新纪元。无论你是渴望突破的主播、寻求合作的伙伴，亦或是怀揣梦想的才华之人，游匠都是你值得信赖的舞台。让我们在这里相遇，共同书写电竞传媒的精彩篇章！</t>
  </si>
  <si>
    <t>经纪人/星探/运营</t>
  </si>
  <si>
    <t>岗位职责：1.发掘潜力主播：通过各大直播平台、社交媒体等渠道，寻找有潜力的FPS游戏主播，评估其直播风格、技术水平及粉丝互动能力。2.签约与谈判：与目标主播沟通，达成合作意向，完成签约流程，确保双方权益。3.主播培养：协助新签约主播制定直播计划，提供内容建议，帮助其提升直播效果与粉丝粘性。4.数据分析：跟踪主播的直播数据（如观看人数、互动率等），定期分析并优化运营策略。5.资源对接：为主播争取平台推荐位、活动资源等，提升曝光率。6.维护关系：与主播保持良好沟通，解决其直播中的问题，确保长期合作。任职要求：1.热爱FPS游戏：熟悉《无畏契约》、《三角洲》等FPS游戏，了解游戏圈动态及玩家需求。2.行业经验：有直播行业、电竞行业或艺人经纪相关经验者优先。3.敏锐洞察力：能快速识别有潜力的主播，判断其发展前景。4.沟通能力强：具备优秀的谈判与沟通技巧，能与主播、平台等多方建立良好关系。5.有良好的数据分析能力、责任心与执行力、抗压能力。</t>
  </si>
  <si>
    <t>日薪：80-120/天</t>
  </si>
  <si>
    <t>HR招聘专员（游戏向）</t>
  </si>
  <si>
    <t>岗位职责：1、负责游戏行业相关岗位的招聘工作，包括编导、剪辑、运营等职位的筛选与面试安排；2、利用多种渠道发布招聘信息，吸引并筛选合适的候选人；3、与候选人保持良好沟通，了解其职业需求，提供专业的招聘咨询服务；4、有MCN、直播、游戏行业招募经验者优先。任职要求：1、对游戏行业有浓厚兴趣，了解游戏的基本知识与运营模式；2、具备良好的沟通能力和人际交往技巧，能够高效地与候选人及团队沟通；3、具有较强的组织和协调能力，能够独立处理招聘全流程；4、熟练使用各类招聘工具和办公软件，具备数据分析能力；5、积极主动，具有高度的责任心和团队合作精神。</t>
  </si>
  <si>
    <t>视频编导（有真人向破圈经验）</t>
  </si>
  <si>
    <t>岗位职责1.负责公司达人真人向视频的内容创意、脚本撰写、分镜设计及现场执导；2.深度挖掘达人人设（唐启华、煎饼郭子等），策划并执行跨界破圈内容（如：游戏+剧情/颜值/文化等）；3.跟踪视频数据（播放、完播、互动），基于数据反馈持续优化内容方向；4.协同拍摄与后期团队，把控视频质量，确保内容高效产出。任职要求：1.2年以上短视频或影视编导经验，有成熟破圈视频案例优先；2.网感极佳，深刻理解短视频平台的流量密码和流行趋势；3.具备出色的创意策划能力和剧本写作能力，能独立完成脚本创作；4.了解游戏，对《无畏契约》有基本了解兴趣，对达人人设有基本认知。5.具备良好的团队协作和沟通能力，能承受快节奏工作压力。</t>
  </si>
  <si>
    <t>月薪：6K-15K</t>
  </si>
  <si>
    <t>游戏脚本策划（无畏契约）</t>
  </si>
  <si>
    <t>岗位职责:1.负责无畏契约原创视频账号的内容创意开发与剧本撰写，确保内容质量和风格符合目标受众的喜好；2.与团队成员紧密合作，参与视频项目的全程制作，包括录制、剪辑、后期（基础的剪辑功底）等；3.紧跟行业动态，不断更新游戏知识和视频内容，以提升视频吸引力和观看率；4.根据账号需求，调整内容策略和创意方向，确保项目按时完成并达到预期效果。任职要求：1.对无畏契约有浓厚兴趣（钻石以上），熟悉游戏视频内容制作。2.具备优秀的团队合作能力，能够与团队成员有效沟通。3.具有较强的学习能力和创新思维，能够适应不断变化的视频内容需求。4.有责任心，能够在紧张的工作环境中保持高效的工作状态。</t>
  </si>
  <si>
    <t>AI视频编导</t>
  </si>
  <si>
    <t>岗位职责:1.负责无畏契约AI视频内容的创意制作与编辑2.至少掌握2款以上的AI专业软件3.与团队合作，确保视频项目的顺利完成任职要求：1.具备出色的创意思维和良好的审美能力2.熟练掌握视频编辑软件及人工智能相关工具3.能够高效协作，具有良好的团队沟通能力</t>
  </si>
  <si>
    <t>上海仕派鸣进出口贸易有限公司</t>
  </si>
  <si>
    <t>上海仕派鸣进出口贸易有限公司成立于2009年01月14日，注册地位于浦东新区杨新东路。经营范围包括一般项目：货物进出口，技术进出口</t>
  </si>
  <si>
    <t>服装外贸业务助理</t>
  </si>
  <si>
    <t>服装外贸业务助理，综合薪水6-8K，欢迎推荐。岗位职责：1、协助外贸业务员做简单的订单跟进表及进度；2、协助外贸业务员跟踪内部生产、订单协调、货物跟踪等事项；3、协助外贸业务员对产品辅料的订购下单及付款事项4、上级交代的其他工作。5、英语cet4任职条件1、大专或以上学历，2、具备较强的学习能力，熟练Word、Excel等办公软件；3、做事沉稳，细心，有耐心，诚实</t>
  </si>
  <si>
    <t>纺织服装类</t>
  </si>
  <si>
    <t>服装开发助理</t>
  </si>
  <si>
    <t>岗位要求：1.熟悉国内外各大服装流行网站,能够在各大服装网站上寻找畅销的女装爆版。2.眼光时尚敏锐，熟悉各季度的流行趋势。3.能够协助各部门跟单和开发组长做好全球客人的面辅料开发4.了解潮流时尚休闲服装产品结构,成本结构、工艺制作,了解面辅料特性及成分。5.能够看懂基本的英文资料任职资格：1.会简单的服装平拍挂拍拍摄2.会PPT制作以及PS.AI使用3.性格乐观外向，愿意并擅于与人沟通，有团队精神4.对女装有兴趣，懂得基本服装常识5.思维活跃,时尚触觉敏锐;6.工作积极，有开拓精神7.年龄24-30岁，可接受应届毕业生</t>
  </si>
  <si>
    <t>服装与服饰设计</t>
  </si>
  <si>
    <t>上海市闵行区罗阳河畔幼儿园</t>
  </si>
  <si>
    <t>上海市闵行区罗阳河畔幼儿园是一所位于罗阳地区的一所公办幼儿园，上海市一级园。分2个园部，靠近地铁一号线外环路站。</t>
  </si>
  <si>
    <t>保育员、育婴员</t>
  </si>
  <si>
    <t>1.基本条件￼￼￼：热爱教育事业，遵纪守法，无违法犯罪记录，具有良好的品行和职业道德。身体健康，能正常履行工作职责。2.学历要求￼￼￼：大专及以上学历。3.资格证书￼￼￼：具备保育员或育婴员职业资格证书。4.专业要求：相关专业5.能力要求￼￼￼：熟悉婴幼儿托育相关知识和政策法规，掌握婴幼儿心理健康、卫生、营养、保健等知识，具备简单处理儿童突发疾病和意外事故的能力，有良好的沟通能力和团队协作精神。</t>
  </si>
  <si>
    <t>上海市闵行区鑫都幼儿园</t>
  </si>
  <si>
    <t>鑫都幼儿园成立于2010年9月，隶属于闵行区教育局，是一所公办幼儿园。园所位于莘庄工业区新源路2760号，占地面积达11000平方米，是闵行区单体规模最大的幼儿园之一。​我们以“让每一个孩子都闪亮，让每一位教工都成长”为办园理念，致力于为孩子打造“金色童年、金色梦想、金色乐园”的成长环境；以“绿色环保”为办园特色，通过丰富的亲自然活动启蒙孩子环保意识与习惯。开园至今，园所收获多项荣誉，包括“联合国教科文组织中国可持续发展教育（ESD）项目实验学校”“航天特色学校”“上海市安全文明校园”“上海市家庭教育示范校”等，是家长信赖、孩子喜爱的优质园所。​现面向学校招聘保育员/育婴师的定向实习生，期待与热爱幼儿教育、渴望成长的你同行，具体信息如下：​一、我们提供​1.专属师徒带教：安排经验丰富的资深生活老师作为专属师傅，一对一指导，帮你快速熟悉幼儿园一日作息流程，轻松上手工作。​2.实战学习机会：深度参与核心工作，包括协助组织幼儿活动与启蒙支持、维护班级环境与执行卫生消毒、学习安全管理与应急配合方法，积累真实工作经验。​3.优质发展平台：作为公办幼儿园，我们重视教职员工的成长，实习生表现优秀者，未来可优先成为幼儿园正式生活老师，开启稳定职业发展之路。​二、我们期待你​1.热爱幼儿教育事业，有耐心、有爱心，愿意陪伴孩子成长；​2.学习能力强，能快速接受新知识、新技能，积极配合师傅完成学习与工作任务；​3.未来有明确意愿加入幼儿园，成为一名专业生活老师。​</t>
  </si>
  <si>
    <t>保育员/育婴师</t>
  </si>
  <si>
    <t>岗位要求：1.具备良好的个人品德，无不良从业记录，热爱儿童，富有爱心、耐心、责任心。2.拥有较强的学习能力，能够快速理解并掌握婴幼儿照料流程、园区规章制度，积极配合师傅完成带教学习任务。3.实习期间需提供有效健康证明。工作内容：1.日常照料学习与实践2.活动协助与教育支持3.环境维护与卫生消毒4.安全管理与应急配合</t>
  </si>
  <si>
    <t>上海市闵行区七宝皇都幼儿园</t>
  </si>
  <si>
    <t>上海市闵行区七宝皇都幼儿园成立于2020年9月，是一所全日制公办幼儿园，由闵行区教育局、七宝镇政府委托闵行区启英幼儿园进行全面管理。幼儿园园长韩秀华是上海市特级教师、上海市正高级教师、同时还兼任启英幼儿园书记和园长。幼儿园秉持“享自主生活筑成长乐都”的办园理念，回归“幼儿园一日生活皆课程”的教育本源，倡导每位教职工走进幼儿心灵，追随幼儿需要，尊重幼儿行为，释放幼儿天性，努力让每一位幼儿快乐生活、健康成长；让每一位家长快乐陪伴、科学育儿；让每一位教工快乐工作、个性发展，将幼儿园筑造成幼儿喜欢、教工热爱、家长放心、社会满意的快乐“皇都”。</t>
  </si>
  <si>
    <t>幼儿园保育员</t>
  </si>
  <si>
    <t>1.热爱教育事业，有爱心、耐心、责任心，工作认真、细致。2.有保育员证书，年龄在35岁以内。3.有较好的理解能力和表达能力</t>
  </si>
  <si>
    <t>上海信玺信息科技有限公司</t>
  </si>
  <si>
    <t>上海信玺信息科技有限公司是以纺织服装辅助教育为主的企业，主要致力于纺织服装信息化</t>
  </si>
  <si>
    <t>商务经理</t>
  </si>
  <si>
    <t>岗位职责：1、协助主管处理一切综合部的商务行政事务。2、负责内部合同的订立、变更、终止、审查、监督等工作。3、负责资料整理、归档、分析及总结、起草和管理文件，招投标、写标书、政府账号管理等。4、负责处理公司日常运行中的行政事务及后勤保障。</t>
  </si>
  <si>
    <t>服装与服饰设计,服装设计与工程,服装设计与工艺,服装陈列与展示设计,皮革服装制作与工艺</t>
  </si>
  <si>
    <t>果栗智造（上海）技术股份有限公司</t>
  </si>
  <si>
    <t>果栗智造(上海)技术股份有限公司成立于2015年，拥有实力雄厚的研发中心和制造中心，专注于磁悬浮驱动传输技术的研发与创新，是行业领先的智能柔性传输系统解决方案供应商。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服务。公司通过CE、ROHS等产品安全和环保认证，获得IS09001等质量管理体系认证，2018年被上海市政府认定为“高新技术企业"，2022年被评为上海市"专精特新"企业，2023年被认定为上海市科技小巨人培育企业、上海市企事业"专利工作试点单位"，2024年被评为上海市重点服务独角兽(潜力)企业、国家级专精特新“小巨人"企业荣誉称号。</t>
  </si>
  <si>
    <t>生产储备干部</t>
  </si>
  <si>
    <t>岗位职责：1、此岗位在生产线实际岗位上历练，通过实际生产作业岗位，学习到生产工艺、技术及品质要求，能够短时间内迅速上岗，并能独立应对生产作业相关问题；2、具备较强的学习能力、沟通协调能力；3、本岗位为公司长期发展而培养公司生产工程技术、一线管理、品质监管等岗位，平台好、发展潜力岗位。岗位要求：1、能吃苦耐劳，愿意从基层岗位踏实做2、全日制大专及以上学历（优秀应届生亦可），如“机械自动化、机电一体化专业、应用电子技术专业、信息工程、电子工程相关专业更佳；3、沟通表达能力强，心态阳光，团队协作意识强，有很强的执行力及责任心。晋升路径：路径一：管理路径：员工--主管--经理--总监专业路径：实习--初级--中级--高级--专家公司福利：餐费补贴、交通补贴、实习宿舍、员工食堂年终奖金、五险一金、带薪年假、周末双休团建旅游、社团活动、节日礼包、年度体检</t>
  </si>
  <si>
    <t>机械工程,自动化</t>
  </si>
  <si>
    <t>【工作内容】-负责协助技术团队完成设备调试、维护及日常运行管理工作；-参与生产流程优化和技术方案的实施，提升工作效率和产品质量；-协助进行技术资料的整理与归档，确保信息准确性和可追溯性；-配合团队完成项目任务，积极参与团队协作与沟通，推动项目顺利推进；-定期参与岗位培训与技能提升课程，不断提升自身专业能力与综合素质；-根据工作安排，完成上级交办的其他相关技术支持任务。【任职要求】-大专及以上学历，机械一体化相关专业；-有较强的责任心和团队意识，能够服从工作安排并积极融入团队；-无需相关工作经验，欢迎应届毕业生或具备潜力的求职者加入；晋升路径：路径一：管理路径：员工--主管--经理--总监专业路径：实习--初级--中级--高级--专家公司福利：餐费补贴、交通补贴、实习宿舍、员工食堂年终奖金、五险一金、带薪年假、周末双休团建旅游、社团活动、节日礼包、年度体检</t>
  </si>
  <si>
    <t>机械工程,自动化,电气工程及其自动化</t>
  </si>
  <si>
    <t>上海市闵行区爱博果果幼儿园</t>
  </si>
  <si>
    <t>上海市闵行区爱博果果幼儿园（简称“果园”）是一所直属于闵行区教育局的全日制公办幼儿园，上海市示范性幼儿园。自2013年9月开办以来，果园始终紧随学前教育改革步伐，追寻“在自然的果园里赋予儿童生长的力量”美好样态，在“多彩果园本然生长”的办园理念引领下，打造自然生态、互动多元的游戏场域，构建“阅生活”“阅社会”“阅自然”的课程，并努力探寻数智技术与幼儿培育场景的融合创新，丰富孩子的童年经历，触发并支持儿童有意义的学习。</t>
  </si>
  <si>
    <t>1.全面负责幼儿一日生活中的保育工作，确保幼儿身心健康和生命安全。2.在保健员指导下，严格执行幼儿园保育操作规范和安全、卫生保健制度。3.负责班级区域和包干区域的环境和设备清洁卫生消毒工作，保持室内外环境整洁。4.与教师共同管理幼儿生活，并配合本班教师组织教育活动。5.根据幼儿年龄特点，全面关注幼儿身心健康，做好特殊儿童的观察护理。</t>
  </si>
  <si>
    <t>技术管理储备生(研发方向)</t>
  </si>
  <si>
    <t>岗位职责：1、按要求完成各阶段培训，迅速融入企业文化，掌握必备知识技能；2、根据部门要求，在导师指导下，完成专业知识和技能的学习储备；3、积极参与部门具体业务工作，完成储备期间各个岗位的工作任务；4、负责研发过程中的异常问题汇总，反馈、处理等工作；5、负责对样品制作过程中的质量问题进行优化改进；6、有一定的团队管理能力，能积极主动帮助团队成长，并提出合理化建议；7、完成部门领导或导师交办的其他工作任务。任职要求：1、2026届应届毕业生，大专及以上学历，机械工程、自动化等相关专业优先；2、无需相关工作经验，欢迎应届毕业生或具备潜力的求职者加入；3、具有较强的团队合作能力和沟通意识，较强的抗压能力；4、拥有良好的学习能力和创新能力。晋升路径：路径一：管理路径：员工--主管--经理--总监专业路径：实习--初级--中级--高级--专家公司福利：餐费补贴、交通补贴、实习宿舍、员工食堂年终奖金、五险一金、带薪年假、周末双休团建旅游、社团活动、节日礼包、年度体检</t>
  </si>
  <si>
    <t>高端家居销售顾问</t>
  </si>
  <si>
    <t>岗位职责：1、了解公司产品，包括产品各类信息（材质/规格/风格/定制方式等）；2、配合店面及设计产品团队，完善优化公司选品和丰富产品库建立的工作，具备敏锐的市场洞察力和设计专业眼光；3、为客户提供软装搭配方案，提供产品信息，促进订单的完成；4、按照公司销售服务标准为客户提供优质服务，提升品牌形象；5、了解客户对公司产品及各环节服务评价或期望并反馈给公司及上级，为提升客户消费体验提供改进方向；6、熟悉公司软装方案模板及方案库，为客户提供更多优质的设计搭配选择；7、具备良好的团队合作精神，有责任心，进取心；8、遵纪守法，有职业道德，并遵守公司各规章制度。任职要求：1、20岁以上，男女不限；2、工作细心，有激情，有耐心；3、有工作经验者优先。工作时间：做六休一，早上9:30-下午18:30；工作地点：上海市闵行区颛桥镇光华路158号（宝盖头家居）；福利待遇：五险一金，生日红包（蛋糕），团建活动，节日礼品，带薪年假，每日还可享受现磨咖啡。</t>
  </si>
  <si>
    <t>月薪：10K-15K</t>
  </si>
  <si>
    <t>家具设计与工程</t>
  </si>
  <si>
    <t>途虎养车（上海）汽车服务有限公司</t>
  </si>
  <si>
    <t>途虎养车于2011年在上海成立，是一家致力于提升汽车服务品质和产业效率的创新企业，于2023年9月26日正式在香港联合交易所主板挂牌上市。途虎养车以“让养车更简单”为使命，为用户提供换轮胎、做保养、汽车美容、汽车用品等服务和产品，并通过线上下单、线下安装的方式，让消费者享受到正品、专业的一站式服务体验。</t>
  </si>
  <si>
    <t>实习技师</t>
  </si>
  <si>
    <t>高中</t>
  </si>
  <si>
    <t>实习技师—机修方向负责车辆的故障诊断、维修、保养、轮胎等工作实习技师—美容方向负责车辆的洗护、打蜡、镀金、贴膜、钣喷等工作</t>
  </si>
  <si>
    <t>月薪：3K-4K</t>
  </si>
  <si>
    <t>汽车检测与维修技术,新能源汽车运用与维修,汽车车身维修技术</t>
  </si>
  <si>
    <t>上海市闵行区中福会浦江幼儿园</t>
  </si>
  <si>
    <t>上海市闵行区中福会浦江幼儿园是一所闵行区公办幼儿园。中福会浦江幼儿园秉承宋庆龄女士“把最宝贵的东西给予儿童”的教学方针，积极探索，从人与社会、自我、自然三个维度出发，以“关爱心、自由性、文化情”核心素养为基础，创设安全、多元、丰富，且具有挑战意义的真实情境，培养有爱心、善交往、愿接纳、能适应、乐生活、享自主、会学习、喜探索、勇挑战的儿童，为终身发展奠基。</t>
  </si>
  <si>
    <t>育婴员/保育员</t>
  </si>
  <si>
    <t>1、认真贯彻执行中小学教师职业道德规范，积极履行《教师法》规定的各项义务。2、自觉遵守单位规章制度，认真完成幼儿园工作安排。3、熟悉各年龄段学习教材，制定可行的各类工作计划，撰写总结，协助整理教学资料的归档工作。4、积极参加各级展示课、公开课等教研活动，承担课题研究任务，注重经验交流、积累。5、参与班级管理工作，工作态度积极主动，有责任心，对幼儿有爱心和耐心、做好家园沟通工作。同时具有良好的沟通协调能力及团队合作精神。6、完成学校交予的其它任务。</t>
  </si>
  <si>
    <t>教育学</t>
  </si>
  <si>
    <t>上海良相智能化工程有限公司</t>
  </si>
  <si>
    <t>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统、视频摘要系统等；安防产品主要有系统集成、智能楼宇、门禁系统、音视频系统、数字会议系统、智能交通等。鼎电集团始终以独树一帜的经营理念和出色的管理，带领着IT商务领域的转变。</t>
  </si>
  <si>
    <t>分公司体育中心前台</t>
  </si>
  <si>
    <t>岗位职责:1.负责体育馆前台的日常行政事务，确保入场流程顺畅。2.组织和准备公司内部会议所需资料，保证会议前准备充分。3.处理公司内外的通信事务，包括报纸送递、信件分发等。4.负责员工的考勤管理，包括考勤录入及门禁控制。5.维护前台区域的卫生，确保环境整洁。任职要求：1.具备良好的沟通能力和服务意识，能够有效处理客户咨询和需求。2.熟练掌握办公软件的使用，能够高效完成工作任务。3.具有较强的组织能力和责任心，能够独立处理和解决问题。4.具备良好的团队合作精神，能够与团队成员有效沟通。5.对工作细心认真，能够在快节奏环境中保持积极态度。福利待遇：公司提供包吃住！</t>
  </si>
  <si>
    <t>售前售后技术支持人员</t>
  </si>
  <si>
    <t>岗位职责：一、职位描述：1、熟悉掌握公司产品，为产品做售前讲解，功能演示等技术支撑工作；2、协助销售针对售前客户提出的疑问进行解答；3、吃苦耐劳，愿意接受新事物。二、岗位要求：1、有销售相关经验者优先；2、能接触并尝试新事物者优先，良好的团队协调能力，良好的沟通能力与执行力；3、熟练使用计算机，熟练office等常用办公软件，ps，pr软件者优先；4、思维活跃、有逻辑性，有良好的语言表达及沟通能力；5、会开车，有驾驶执照优先；（不会也没关系）三、公司福利：1、公司提供免费员工公寓，表现优异者可升级为单人公寓；公司提供一日三餐；2、公司环境优美，绿植丰富，生活便利。公司园区内有无人超市，羽毛球馆、网球场、台球、乒乓球、健身房、书吧等；3、朝阳行业，晋升方向多元化，晋升空间大。</t>
  </si>
  <si>
    <t>上海沣奕建设咨询有限公司</t>
  </si>
  <si>
    <t>上海沣奕建设咨询有限公司成立于2019年6月，注册资金：1000万元，办公地址：闵行区虹梅南路1789弄9号楼605室。公司已获得“国家高新技术企业”、“闵行区创新型中小企业”、“上海市和谐劳动关系达标企业”等称号，以及健全的ISO三体系认证AAA级企业。公司崇尚严谨、务实、创新，追求专业、高效；已与上海多家知名造价及会计师事务所、资产评估企业都有合作交流，并与知名设计院、监理合作开展全过程工程咨询服务。业务内容：工程咨询、造价咨询、招标代理、工程项目管理、全过程工程咨询。发展目标：扎根梅陇、立足闵行、面向全国。服务宗旨：客户至上、严谨务实、精诚协作。</t>
  </si>
  <si>
    <t>工程造价员/预算员</t>
  </si>
  <si>
    <t>岗位职责：1、造价专业方面工作，具有沟通及对外接洽能力；2、编制清单、审核工程量预决算、现场签证变更等；3、掌握并熟悉定额、取费标准的组成和计算方法；4、能完成造价专业招标文件、回标分析报告编制等。任职要求：1、土木工程、机电安装、工程造价/管理等相关专业大专及以上学历，能熟练使用CAD、广联达等相关软件；2、1年以上造价咨询企业、施工单位、房地产企业相关部门工作经验；3、具有沟通、理解、应变能力，能够准确把握业主要求，善于协调各项目各方关系。</t>
  </si>
  <si>
    <t>软通动力信息技术（集团）股份有限公司</t>
  </si>
  <si>
    <t>软通动力信息技术（集团）股份有限公司（以下简称“软通动力”）是中国领先的软件与信息技术服务商，致力于成为具有全球影响力的数字技术服务领导企业，企业数字化转型可信赖合作伙伴。2005年，公司成立于北京，立足中国，服务全球市场。目前，公司在全球40余个城市设有近百个分支机构，构建完善的全球“营销和交付”服务网络，员工近90000人。秉承用数字技术提升客户价值的使命，软通动力长期提供数字化创新业务服务、通用技术服务和数字化运营服务，其中数字化创新业务服务包括数字咨询服务、数字技术服务和数字解决方案；凭借深厚的行业积累，公司在10余个重要行业服务超过1100家国内外客户，其中超过230家客户为世界500强或中国500强企业。软通动力注重创新和可持续发展。公司已建设30个能力中心，拥有1个国家级工程实验室，6个省市政府认定的工程、技术实验室及研发中心，1个博士后科研工作站，50+技术合作伙伴的生态合作体系，利用多种形式鼓励研发创新，不断探索前沿技术的巨大商业应用潜力。软通动力依托自身的教育平台，开展校企合作、协同育人，为公司长期发展培养人才。软通动力先后获得“2022中国软件和信息技术服务竞争力百强企业”、“2022数字服务领军企业Top10”、“2023年中国信创企业100强”、“2022年中国IT服务市场排名Top2”、“2023深交所国证ESG评级AA级”、“2023万得ESG评级（WindESGRating）AA级及信息技术服务行业ESG综合得分排名第一”等荣誉及认可，连续多年被授予“中国软件和信息服务业突出贡献奖”、“GlobalOutsourcing100listLeaderSizeGroup”等荣誉，并拥有全球软件工程领域最高级别CMMIV2.0成熟度5级评估认证、国家研发运营一体化（DevOps）三级能力成熟度模型认证、信息技术服务标准（ITSS）运维能力成熟度一级认证等专业资质，支撑公司更优质的服务体系。</t>
  </si>
  <si>
    <t>手机测试岗位</t>
  </si>
  <si>
    <t>完成手机模块测试，包含3个模块，根据面试安排会其中1个岗位方向。1、三方兼容：应用市场TOPAPP与小米手机的兼容性测试。2、设备兼容：主流蓝牙耳机、车载、有限耳机、OTG、SD卡与小米手机的兼容性测试。3、升级维护：手机整机软件测试，如系统应用、多媒体、短距、性能、功耗、通讯、显示、相机等。*周末双休，需适应项目工作强度。薪资待遇1、实习薪资：大专2800元/月，本科3000元/月，岗前带薪培训，培训预计3-5天，测试业务知识2、提供转正：按实习考核5000~8000；2、食宿自理，参考自如，费用参考800-1000/月(可以选择1-2个人一间）；3、公司统一购买实习生保险，实习期间确定可以转正的人可以签三方协议。</t>
  </si>
  <si>
    <t>计算机类</t>
  </si>
  <si>
    <t>华东师范大学附属紫竹幼儿园</t>
  </si>
  <si>
    <t>华东师范大学附属紫竹幼儿园开园于2011年11月，是由华东师范大学、闵行区人民政府和紫竹科技园区三方鼎立打造的一所公办幼儿园，直属于闵行教育局。幼儿园地处紫竹国家高新技术产业开发区，紧靠华师大闵行校区，并与华师大紫竹附小和二附中组成了闵行紫竹基础教育园区。幼儿园紧紧围绕“ECNU”的办学理念(探索、创造、自然、无处不在的学习)，依托闵行区教育局、吴泾镇人民政府和紫竹国家高新区的大力支持以及华东师大的丰富专家资源，秉持以科研促教学，以教学促发展的办园思路，发扬开放多元、融汇百家的海派文化精神，正努力发展成为一所具有国际化、个性化、人本化管理及保教理念的高品质幼儿园。2017年6月，幼儿园通过上海市闵行区教育评估所等级验收，被评为上海市一级幼儿园；2019年10月被评为上海市示范性家长学校；2020年6月被评为上海自然博物馆馆校合作示范校。目前，办园规模25个班级，共占地13320平方米，有教职工102名，拥有一支具有学前教育专业水平的研究型教师队伍，其中硕士12人，硕士在读2人，整支教师队伍年轻但专业度高。</t>
  </si>
  <si>
    <t>主要负责2-6岁幼儿的生活照料、安全保障和教育配合。</t>
  </si>
  <si>
    <t>上海衡事欣冷暖设备有限公司</t>
  </si>
  <si>
    <t>上海衡事欣冷暖设备公司从事数字暖通、建筑节能机电行业22年，在专业领域内，是一家集投资、设计、采购、施工、运营的整体化落地解决方案的专业服务商，有能力为用户提供软硬件一体化的全生命周期服务。公司现有：总承包贰级、市政总承包贰级、机电贰级、环保贰级、古建筑贰级、钢结构贰级、特种设备B级（锅炉）安装，修理，改造集中空调系统：维护、保养、消毒许可证等多项专业资质。</t>
  </si>
  <si>
    <t>机电设备运维工程师</t>
  </si>
  <si>
    <t>1.掌握机电（含暖通、空调等）等相关设备的工作原理、具备公用设备工程安装、验收、检维修相关知识；2.具有相应工种独立操作能力，熟悉VRV空调设备，一专多能，会维修（大金/日立/麦克维尔等）多种品牌的空调热泵机组；3.熟悉建筑行业的设备设计、安装、维护的各种规范、标准及流程；4.精通暖通、给水排水、动力设备的选型、安装、调试和维护管理等；任职要求：1、具备专业的基本理论知识，了解相关专业知识（如空调等），熟练运用Office等计算机软件系统；2、给排水、机电一体化等相关专业3、具备良好的团队合作能力、沟通协调能力，分析和解决问题的能力；4、爱岗敬业、廉洁自律、正直善良、富有创新精神，能适应不定期出差。5、可常驻项目现场，项目地点公司分配</t>
  </si>
  <si>
    <t>建筑智能化工程技术,建筑类,供热通风与空调工程技术,建筑设备工程技术,建筑电气工程技术,建筑工程技术</t>
  </si>
  <si>
    <t>上海市闵行区虹鹿幼儿园</t>
  </si>
  <si>
    <t>闵行区虹鹿幼儿园是一所隶属闵行区教育局和虹桥镇政府管理的公办全日制幼儿园，创办于1999年3月，2004年争创为上海市一级幼儿园，2008年争创为闵行区第一所区级示范园，2010年争创为上海市示范性幼儿园。我园现有虹鹿园与井亭园两个园所，占地面积共8365平方米。十八年来，在全体教职工的共同努力下，幼儿园成绩斐然。先后被评为上海示范性幼儿园、上海市托幼机构保育工作先进集体、上海市平安单位、上海市巾帼文明岗、上海市三八红旗集体、闵行区优秀家长学校、幼儿园办学水平督导评估为年A等一级、党支部被评为五好基层党组织称号等。虹鹿幼儿园还承担了闵行区特色课程基地、闵行区园长培训基地、区后备干部培养基地、区幼儿园骨干教师基地、区对口联动带教项目基地、区见习教师规范化培训基地及沪川幼儿园的指导。</t>
  </si>
  <si>
    <t>岗位：保育员岗位职责：1.负责幼儿的日常生活照料，包括协助幼儿进餐、饮水、午睡、盥洗、如厕等。2.配合班级教师开展各类活动，并在活动中做好生活、安全保障工作。3.维护班级环境卫生，定期清洁消毒。4.其他协助配合工作。任职要求：1.身体健康，持有有效健康证明；2.爱孩子，有耐心、爱心、责任心，能细心照顾幼儿的生活与情绪。3.具备良好的沟通能力与团队协作意识，能积极配合老师、保健老师完成相关工作。</t>
  </si>
  <si>
    <t>上海朴维自控科技有限公司</t>
  </si>
  <si>
    <t>朴维科技成立于2011年，国家高新技术企业。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取样、分析、添加工作，节省人工，降低生产成本，提升品质；并且实现工艺过程管控系统与客户MES系统，品质系统，ERP系统的对接，为制造业向智慧型工厂迈进提供技术支持。过程控制的关键技术药水浓度在线分析一直被欧美日等西方国家掌握！朴维科技从自动分析加药设备起步，与国内外知名化学药水厂商合作，替代国外进口的自动加药设备，赢得了市场客户的认可和信任，化学镍自动分析添加设备成为这个细分市场的行业领先者。在此基础上，朴维科技加大研发投入，不断向过程分析控制的核心技术前进。在2015年开始立项开发在线滴定分析仪，先后在铝氧化、PCB线路板、涂装前处理、芯片封装、电镀等行业得到广泛应用。朴维科技还在不断研发，推陈出新，先后在国内市场上率先推出在线XRF分析仪解决在线镀金、银、铜、钯、铑等贵金属浓度的问题；在线比色分析仪解决铜、镍、钯、三价铁等金属离子浓度分析难题。朴维科技不仅开发了各类在线分析仪器解决制造业药水浓度的在线分析及自动控制的问题，还在不断的创新，成功研发了多通道自动取样技术，多工艺自动分析工作站，降低用户的设备投入成本，使得越来越来多的制造企业向智能化升级。朴维科技工艺智能控制软件系统立志赶超国外竞争对手。朴维科技同时注重市场应用的开发！公司通过几年的努力开拓，已打开了PCB线路板市场，目前已可实现98%以上工艺槽药水的在线分析，中国PCB百强企业已有70多家企业采用朴维科技在在线分析或自动加药产品。另外，在电子行业，先后进入富士康，得意、莫仕、泰科、中航光电洛阳158厂、中国电科技集团下属38所，43所，50所、55所等单位。家电、汽车、3C行业的众多客户也在采用朴维科技在线分析仪及自动加药设备用于涂装前处理的工艺管控。朴维科技不仅在传统制造业打开市场，也赢得了芯片封测行业行业的订单。除了继续开拓中国国内市场，朴维科技还将产品推到东南业，欧洲、北美墨西哥等市场。通过十年的努力，朴维科技已成为国内在线分析及自动加药系统的领军者，将工艺过程分析及管控这个细分市场从零开始逐步开发出来。朴维科技的产品和服务不仅获得了各个行业知名客户的认可，朴维科技在线分析和自动加药系统在整个市场的销售业绩已逐步赶超国外企业。同时，朴维科技的努力也获得了一些荣誉和鼓励！2018年闵行区创新大赛立项单位；2019年获高新技术企业证书；2019年上海市创新大赛立项单位；2020年“创客中国”上海市高端智能装备赛道一等奖，上海市总决赛优胜奖。</t>
  </si>
  <si>
    <t>安装调试工程师</t>
  </si>
  <si>
    <t>岗位职责：1、工业自动化设备、仪器的装配，调试，维护技术支持、售前与售后服务；2、设备/系统的现场安装、调试、验收以及客户培训；3、能读懂机械设计图纸、电气接线图、组装图；4、具有扎实的电工基础知识，适应出差，团队协作精神强，沟通能力强；5、较强的独立分析问题和解决问题的能力；4、了解电气控制及PLC基础知识。任职要求：1、有电工证，持有C照或以上驾驶证者优先；2、专业：电气自动化、机电一体化、智能机电、工业机器人等。薪资构成：基本工资+绩效工资+项目奖+年终奖</t>
  </si>
  <si>
    <t>月薪：7K-9K</t>
  </si>
  <si>
    <t>自动化,机电一体化技术,工业机器人技术,工业智能</t>
  </si>
  <si>
    <t>装配技术员</t>
  </si>
  <si>
    <t>岗位职责1、工业自动化设备的电气装配（PLC、继电器、断路器等电气部件）设备的现场安装；2、能读懂电气接线图、组装图，接线板电气柜接线；3、自动化分析仪器的模块的安装及管路系统的连接装配。任职要求：1.自动化、机电、工业机器人专业等优先2.能看懂图纸，具备较强的动手能力能，熟练使用常规的电气接线工具。薪资构成：基本工资+加班工资+项目奖+年终奖应届生亦可</t>
  </si>
  <si>
    <t>管培生</t>
  </si>
  <si>
    <t>岗位职责：1、工业自动化设备、仪器的装配，调试，维护技术支持；2、设备的安装、调试、验收以及客户培训；3、能读懂电气接线图、组装图；4、具有扎实的电工基础知识，适应出差；任职要求：1、有电工证者优先；2、专业：电气自动化，机电一体化，工业机器人等；3、了解电气控制及PLC基础知识优先；4、实习生和应届生亦可。薪酬福利：1、一对一的带教、系统化的业务知识培训；2、完善的职业发展规划；技术方向：初级工程师—中级工程师—高级工程师管理方向：组长—主管助理—主管—经理—总监</t>
  </si>
  <si>
    <t>电气工程及其自动化,机电一体化技术,工业机器人技术,智能制造技术</t>
  </si>
  <si>
    <t>职能类管培生</t>
  </si>
  <si>
    <t>该岗位方向为财务岗、人力资源岗，要求会计学或财务管理、人力资源管理等专业，要求每周至少3天全天出勤任职资格：1、全日制本科以上学历，会计学或财务管理、人力资源管理等专业毕业优先；2、有上进心、清晰目标；3、熟悉操作财务软件、Excel、Word等办公软件；4、工作细致认真，态度端正</t>
  </si>
  <si>
    <t>会计学,财务会计类,统计与会计核算,会计信息管理,会计,财务会计教育</t>
  </si>
  <si>
    <t>上海汉尼生物细胞技术有限公司</t>
  </si>
  <si>
    <t>上海汉尼生物细胞技术有限公司（ShanghaiHarmonyCellTechnologyCo.,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等研发、生产用的无血清培养基；我们的服务提供从基因序列到药物最终制剂，主要为生物药品研发公司提供从细胞株（库）建立、细胞培养工艺开发、目的产品的分离纯化，中间品及终产品的测试及方法开发、包括GMP生产到国内外产品注册申报的全套服务。瞄准未来，汉尼细胞仍将坚持不懈的为中国生物医药产业事业的发展贡献力量，为全球先进资源的引进搭建坚实的桥梁，为中国生物医药领域生产提供专业方案，研发生产高标准产品，我们坚持：因为专注所以专业，因为专业所以卓越。现因公司经营业务的扩大和发展，需招聘相关岗位的优秀人才，欢迎有志者加盟汉尼细胞，公司将为您提供良好的职业发展机会，以及良好的福利待遇：五险一金、带薪年假、免费工作中餐、周末双休、公司旅游、节日福利等等。</t>
  </si>
  <si>
    <t>市场专员</t>
  </si>
  <si>
    <t>岗位工作内容：1、协助上级完成营销策略制订2、合作商管理与流程规范3、大客户的维护，定期电话邮件沟通，必要时进行拜访工作4、少量文献翻译工作任职条件：1、教育背景：生物、医药，食品等相关专业本科以上学历。2、大学英语六级3、实习期能保证一周至少出勤三天，提供转正机会。</t>
  </si>
  <si>
    <t>生物科学,生物工程,生物技术,微生物学</t>
  </si>
  <si>
    <t>上海复合材料科技有限公司</t>
  </si>
  <si>
    <t>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公司建成了华东地区最大的复合材料生产和研发基地之一，公司在发展过程中逐步形成了具有自身特色的复合材料研制、生产、试验、检测能力，被上海市定位为“上海航天树脂基复合材料工程技术研究中心”。目前，在复合材料技术及工程化应用开发方面居于国内领先水平，配备了各类先进的数字化生产设备，形成了制造大型复合材料零部件及系统集成的生产制造能力，可为上海市乃至全国航空航天、轨道交通、汽车工业以及海洋工程等行业提供成熟、配套的工程化服务。公司地处上海闵行区浦江镇工业园区，拥有标准工业厂房和配套的基础设施。公司瞄准国际复合材料前沿技术，运用先进的管理机制，力求推出适合市场需求的、具有高附加值高性能的复合材料产品，发展空间十分广阔。</t>
  </si>
  <si>
    <t>检验员</t>
  </si>
  <si>
    <t>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技能等级证书优先考虑</t>
  </si>
  <si>
    <t>技能实习生</t>
  </si>
  <si>
    <t>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实验室工作经验，能独立使用电子万能试验机者优先</t>
  </si>
  <si>
    <t>咖啡师</t>
  </si>
  <si>
    <t>要求：（1）对咖啡制作充满热情，有活力，对生活充满激情，不怕吃苦，正直诚信。（2）具有团队合作精神和一定的协调能力，服务意识强。（3）接受能力强、灵活敏捷，具有创新精神。（4）有良好沟通能力。（5）需要对咖啡文化有深入了解，熟悉咖啡机和其他咖啡制作工具的操作，能够制作和提供高品质的咖啡和饮品。沟通能力和服务意识。薪资待遇：5000-6000元/月其他福利：早中餐、高温费、年终奖、大礼包等实习生3000元+500元全勤奖，国企，提供完善的培训，实习表现优秀者毕业后优先录用。录用后缴纳四金，提供年终奖、高温费、大礼包，详情面谈。</t>
  </si>
  <si>
    <t>工艺员</t>
  </si>
  <si>
    <t>工作职责：1、负责碳纤维复合材料零件的成型工艺技术、复合材料的机械加工技术及复合材料部组件的胶接装配工艺技术的研发和现场调试工作（工艺参数的开发、操作规范编制、产品胶接装配工艺）；2、参与新技术、新工艺、工艺改进等课题研究、试验验证、总结工作（工艺改进项目立项、开展试验、项目总结）；3、协助参与复合材料部组件胶接装配所需要的模具和工装、检具的设计开发；4、按照上级设计输入和公司技术标准开展工作，完成上级交办的其它工作。任职资格：1、机械类专业、复合材料类专业、材料类等专业硕士及以上学历；2、了解复合材料成型工艺、结构件加工工艺；3、具有读图和绘图能力，熟练运用Proe、CAD等绘图软件；4、具备技术文件编写能力，能熟练使用计算机办公软件；5、善于团队合作，协调沟通能力强、工作有耐心、有责任感。</t>
  </si>
  <si>
    <t>材料科学与工程,复合材料与工程,材料学,纺织材料与纺织品设计,高分子材料工程技术,机械设计制造及其自动化,一般力学与力学基础,工程力学</t>
  </si>
  <si>
    <t>上海电气集团上海电机厂有限公司</t>
  </si>
  <si>
    <t>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我们提供：职业发展及培训：大学生“1+3+5”培养体系、技术管理序列Y型职业发展通道、青年骨干储备培养、专业任职资质培训、在职硕士培养。福利：除五险一金外，增加补充住房公积金、补充养老金、补充医疗保障；并提供职工宿舍、购房无息贷款、优秀员工上海市户籍办理（人才引进）、交通住宿补贴、高温津贴、工作午餐、定期体检、节日礼包、探亲假、生日蛋糕、电影券、体育活动等。</t>
  </si>
  <si>
    <t>项目经理</t>
  </si>
  <si>
    <t>1、合同管理。负责实行项目合同的分解，编制计划并下发；2、协调合同附带监造计划的签订，就监造过程中发生的重大质量、技术问题与质保部、甲方或业主沟通；3、根据公司项目计划，对项目的进度、质量进行全方位跟踪并控制，考核项目的节点，并对产品的发货进行通知；4、项目的管理，保证项目合同执行的符合性，并对项目准点交货进行控制；5、项目风险评估与控制，了解项目进展及审批情况；6、及时跟踪项目执行过程中的设计、工艺、质保、采购、制造、试验、装箱、发货直至项目验收。专业要求：电气类（电气工程及其自动化/电机与电器）机械类（机械工程及其自动化）任职要求：1、学历本科及以上；2、本科英语CET-4；研究生英语CET-6；口语良好；3、熟练操作计算机；4、有较强的承受压力的能力；较高的学习能力和适应能力；富有团队精神，有责任感；5、有学生干部工作经验优先。</t>
  </si>
  <si>
    <t>月薪：11K-15K</t>
  </si>
  <si>
    <t>电气类,机械类</t>
  </si>
  <si>
    <t>生产制造培训生</t>
  </si>
  <si>
    <t>1、根据销售排产需求及工厂实际生产能力，参与策划和排定大纲计划2、根据计划管理工作要求，参与计划相关会务3、负责生产的准备、进度与配套件落实，合理调度，控制生产节奏4、现场技术指导5、协调生产中突发性的材料、技术、工艺、质量、设备、能源、生产场地等问题，及时采取有效措施6、确保分厂质量体系的执行与落地7、负责协调解决现场发生的质量问题8、负责分厂的工艺工关、质量改进及技术降本工作专业要求：机械、电气、工业工程等专业任职要求：1、学历本科及以上；2、本科英语CET-4；研究生英语CET-6；口语良好；3、熟练操作计算机；4、有较强的承受压力的能力；较高的学习能力和适应能力；富有团队精神，有责任感；5、有学生干部工作经验优先。</t>
  </si>
  <si>
    <t>机械类,电气类,工业工程</t>
  </si>
  <si>
    <t>售后服务工程师</t>
  </si>
  <si>
    <t>1、参加现场设备开箱，清点、检查设备数量及质量。对箱单进行各方现场签证，并收集。2、接受任务时问明任务内容及时做好准备工作，并先行与用户联系确认到达现场时间，一般项目须在24小时到达现场。3、及时准确的了解现场情况并进行工作上的问题处理，及时进行信息反馈。把握和纠正现场安装中存在的问题，组织推进现场服务和问题的及时处理。4、市场开拓：市场和客户开发及管理；5、服务业务承接及执行过程中销售相关工作，包括不限于标书制度、订单签订、销售、回款等。6、负责现场与客户之间的沟通、协调，数理公司的形象维护公司的信誉及利益。专业要求：电气、机械大类专业任职要求：1、学历本科及以上；2、本科英语CET-4；研究生英语CET-6；口语良好；3、熟练操作计算机；4、有较强的承受压力的能力；较高的学习能力和适应能力；富有团队精神，有责任感；5、有学生干部工作经验优先。</t>
  </si>
  <si>
    <t>电机设计工程师</t>
  </si>
  <si>
    <t>1、熟练使用二、三维软件绘图、有限元分析建模；2、技术方案设计：基于客户需求制定性能匹配的电机技术方案，支撑市场订单承接；参与海外项目及新产品的电机方案设计开发。3、行业调研与需求分析：快速学习理解各行业产品需求特征，参与行业调研；对接海外客户及销售团队，消化技术规格书并梳理电机技术清单。3、产品开发与生产支持：确保电机设计图样符合合同要求，在技术准备周期内完成设计工作；编制可实施的设计图样，解决生产现场的制造问题。4、跨部门协作：参与制定新产品开发计划，协同生产部门完成技术落地。专业要求：电气类（电气工程及其自动化/电机与电器）机械类（机械工程及其自动化）材料类（金属材料/材料成型及控制工程）热动类（低温制冷/通风冷却/流体机械）任职要求：1、学历本科及以上；2、本科英语CET-4；研究生英语CET-6；口语良好；3、熟练操作计算机；4、有较强的承受压力的能力；较高的学习能力和适应能力；富有团队精神，有责任感；5、有学生干部工作经验优先。</t>
  </si>
  <si>
    <t>机械类,电气类,材料类,动力工程及工程热物理</t>
  </si>
  <si>
    <t>电机研发工程师</t>
  </si>
  <si>
    <t>1、电磁设计与仿真负责电机电磁方案的计算、优化及迭代，包括空载、负载、电枢反应、损耗等特性分析。熟练使用电磁仿真软件（如AnsysMaxwell、JMAG等）进行电磁分析，并优化设计方案。针对特种电机需求，开发电磁计算流程、方法及相关程序，支撑产品研发。对瞬态工况（如短路、突加突卸负载、重合闸等）进行仿真分析，优化电机性能。2、结构设计与优化负责电机结构方案的设计、优化及验证，确保结构可靠性。熟练使用CAD制图及三维设计软件（如UGNX、SolidWorks等）完成结构设计。使用结构仿真软件（如AnsysWorkbench）进行强度、振动、热分析等优化。3、绝缘技术研发负责新型绝缘结构的研发及科研课题研究，确保绝缘可靠性。完成实验室测试及科研项目，编制相关技术文件。解决生产过程中的绝缘技术问题，协助供应商优化制造工艺。4、通风研发熟练使用三维软件绘图、有限元分析建模；能熟练运用fluent等流体有限元分析软件；采用流体有限元软件进行过流量、流速、温度场分布等工程计算5、通用件开发与技术能力建设负责通用件的开发、设计及标准化管理。推动通用技术能力建设，提升设计效率与产品一致性。提供通用件技术支持，快速解决生产及客户问题。6、系统开发与数字化转型负责技术中心内部系统（如四大平台）的开发、运维及迭代优化。为核心技术程序提供开发与运维支持。为外部客户提供在线监测系统技术支持，包括安装指导、调试及问题处理。对接公司数字化部门，推动企业数字化转型。7、生产支持与产品优化编制合理可行的电机设计图样，参与新产品开发计划。解决生产现场的制造问题，持续优化产品性能与成本。专业要求：电气类（电气工程及其自动化/电机与电器）机械类（机械工程及其自动化）材料类（金属材料/材料成型及控制工程/绝缘/高分子/有机化学）热动类（低温制冷/通风冷却/流体机械）任职要求：1、学历本科及以上；2、本科英语CET-4；研究生英语CET-6；口语良好；3、熟练操作计算机；4、有较强的承受压力的能力；较高的学习能力和适应能力；富有团队精神，有责任感；5、有学生干部工作经验优先。</t>
  </si>
  <si>
    <t>机械类,电气类,能源与动力工程</t>
  </si>
  <si>
    <t>双语讲解员</t>
  </si>
  <si>
    <t>（1）女性身高165以上，男性175cm以上，身体健康，学习能力强，善于沟通交流，责任心强，（2）语言表发能力强，善于沟通，具有大学四级、六级证书，普通话说平测试二级甲等或以上水平。（3）有较强的组织协调能力，团队协作能力，反应敏捷，能妥善处理游客的突发状况。薪资待遇：7000-8000元/月其他福利：早中餐、高温费、年终奖、大礼包等实习生3000元+500元全勤奖，国企，提供完善的培训，实习表现优秀者毕业后优先录用。录用后缴纳四金，提供年终奖、高温费、大礼包，详情面谈。</t>
  </si>
  <si>
    <t>市场经理助理</t>
  </si>
  <si>
    <t>岗位内容：1.监测产品销售情况，分析市场需求变化和竞争趋势，为公司制定更好的销售策略和服务方案；2.负责市场调研及数据收集、整合和分析，定期汇报和总结市场信息，并将其应用到产品和品牌推广中；3.负责客户报价的准备、样品发送、合同洽谈以及后续的收款等工作，确保销售流程顺畅高效，同时参与解决客户在购买过程中遇到的问题；4.参与组织和执行各种推广活动，积极开拓新客户和市场份额，提高销售额和用户体验；5.团队协作与跨部门沟通：与研发部、技术部、物流等部门保持良好的沟通与协作，确保销售项目的顺利进行。</t>
  </si>
  <si>
    <t>生物科学,生物技术,微生物学,制药工程</t>
  </si>
  <si>
    <t>外贸专员</t>
  </si>
  <si>
    <t>英语或者国贸相关专业、英语良好、有志于从事外贸行业，不管你有没有经验，都可以加入大洋外贸团队。我们有完整的培训体系可以助你快速成长。</t>
  </si>
  <si>
    <t>技术研发类</t>
  </si>
  <si>
    <t>培养方向：结构工程师、电子工程师、电机工程师岗位要求：①2026届毕业生，本科及以上学历；②机电类相关专业，熟悉AUTOCAD、PRO-E等制图软件，有较强的独立组织能力；③耐心沉着，上进心强，有市场洞察力和创新精神。</t>
  </si>
  <si>
    <t>设计师</t>
  </si>
  <si>
    <t>博士</t>
  </si>
  <si>
    <t>1、协作完成重点基础研究项目或者新技术研究项目的论证工作；2、负责新型固体动力总体方案论证与系统设计；3、承担项目技术攻关工作，负责项目方案实施过程中方案设计与试验工作；4、完成项目实施不同阶段和节点总结，以及项目成果总结；5、参与项目相关技术及工作资料的编写与整理，完成相关文档编纂与知识产权的申报。</t>
  </si>
  <si>
    <t>月薪：10K-30K</t>
  </si>
  <si>
    <t>通信系统总特设计师</t>
  </si>
  <si>
    <t>详见招聘简章，具体岗位需求及任职资格面谈。</t>
  </si>
  <si>
    <t>月薪：25K-40K</t>
  </si>
  <si>
    <t>上海赞瑞实业有限公司</t>
  </si>
  <si>
    <t>上海赞瑞实业有限公司，工信部国家级专精特新小巨人企业，国内消防救援服装行业的领导者、隐形冠军。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领域客户的认可。</t>
  </si>
  <si>
    <t>销售管培生</t>
  </si>
  <si>
    <t>主要职责：1）销售管培生将接受关于销售技巧、销售流程和销售策略的培训。2）销售管培生需要参与市场研究和竞争分析，以了解目标市场、竞争对手和潜在客户的需求。3）销售管培生需要与客户沟通，建立和维护客户关系，提供支持并满足客户需求。4）销售管培生通常会协助销售团队的成员，提供销售支持，协助准备销售提案、合同和报价。5）销售管培生需要记录销售活动、制定报告并分析销售绩效，以评估销售目标的达成情况。任职要求：1）本科及以上，尤其是与工商管理、市场营销、物流管理等相关的专业。2）沟通能力：出色的口头和书面沟通技能，能够与客户和团队有效交流。3）团队合作：具备良好的团队合作能力，能够与多个利益相关者协作。4）激情和动力：对销售领域有热情，愿意学习和不断提高销售技能。5）自我驱动：能够独立工作，积极主动，具备解决问题和决策能力。6）分析能力：能够分析市场趋势和数据，制定销售策略。8）技术技能：熟练使用办公软件和销售工具。</t>
  </si>
  <si>
    <t>月薪：7K-20K</t>
  </si>
  <si>
    <t>销售/二手车实习生</t>
  </si>
  <si>
    <t>协助部门办理车辆销售的相关手续；积极上报并解决售车过程中出现的问题；熟悉市场营销知识，愿意在汽车销售领域长期发展；客户服务意识强；亲和力强，有较好的公关能力；全日制大专及以上学历2026届毕业生；认真负责、吃苦耐劳，能承受工作压力。根据学历月实习津贴2400-3000不等。</t>
  </si>
  <si>
    <t>电话专员</t>
  </si>
  <si>
    <t>职位描述:1.根据汽车之家的线索数据，进行客户的外呼，了解具体车型需求，到店时间；2.利用公司提供的客户数据资料，开展电话营销；3.电话跟进客户，邀约客户进店，完成团队业绩目标；4.维护和管理垂直网站平台（汽车之家，易车等）；5.客户数据及时录入系统，更新系统。任职资格：1，工作责任心强，具有良好的沟通技巧、创新能力及执行能力。2，熟练使用办公软件、熟悉网络系统。3，思维敏捷，有很强的学习能力及团队意识，有较强的工作责任心。4，有销售经验者或电话外呼、保险优先考虑。晋升渠道：电话清洗专员-电话邀约专员-汽车销售顾问</t>
  </si>
  <si>
    <t>上海新进芯微电子有限公司</t>
  </si>
  <si>
    <t>上海新进芯微电子有限公司隶属于美国Diodes公司，成立于2007年年底，坐落于上海紫竹科学园区，公司现有全职员工600余人，其中从事设计和工程的技术团队为300余人。公司拥有6英寸以及8英寸晶圆制造净化厂房，可以为系统客户提供采用先进的模拟IC设计和研发、以及利用高阶的生产工艺（如Bipolar、CMOS、BiCDMOS、TVS和SKY等）所制造的多元化高效能半导体产品，并且通过了ISO9001/2000、ISO14001、OHSAS180001及IATF16949质量系统认证，并获得了日本索尼的绿色伙伴证书。</t>
  </si>
  <si>
    <t>设备维护技术员</t>
  </si>
  <si>
    <t>1.职位概述（JobSummary）12小时翻班，负责在线生产设备的日常安全，按照设备PM计划完成相应的设备保全工作。2.职责（Responsibilities）2.1对本班次运行的设备进行日常安全检查。2.2完成设备主管设备工程师制定的设备PM计划。2.3解决本班次中出现的设备一般故障，保证生产的正常运行。2.4服从本班次作业长的领导，遵守净化工作及公司各项规章。2.5根据生产情况需求，对当班工作中出现的设备问题不能解决时，及时向相关设备责任工程师通告。2.6详细记录当班次的设备运行情况。2.7负责库房备件，材料领取。3.任职资格（Qualifications）3.1大专以上，自动化及机电类相关专业。对有三年以上IC前道工作经历的学历可适当放宽。3.2一年以上IC制造工作经验。3.3具备一定的设备安全方面的知识，较强的动手能力和团队精神。知晓FMEA、SPC、MSA三大应用工具。</t>
  </si>
  <si>
    <t>展馆文创产品销售</t>
  </si>
  <si>
    <t>国企可转正1、学历与专业：大专及以上，销售管理、酒店管理、商务礼仪与服务、空中乘务、商务英语等专业。工作经验不限。2、人员要求：(1)五官端正、形象气质好，163cm以上，175cm以上，年龄40岁以下。(2)语言表达能力强，善于沟通。普通话水平二级乙等以上或具备同等水平。(3)有较强的组织协调能力、团队协作能力，反应敏捷、能妥善处理游客的突发状况。(4)具有一定的英语口语能力，能与外宾简单交流。3、岗位职责负责在售商品销售及日报制作；定期商品盘货、对账；工作交接；备用金及营业款清点，销售日报制作；负责工作区域的干净、整洁、有序等。职位福利：五险一金、高温补贴、加班补助、绩效奖金、餐补、带薪年假、定期体检。实习生3000元+500元全勤奖+500饭补，提供完善的培训，实习表现优秀者毕业后优先录用。录用后缴纳四金，提供年终奖、高温费、大礼包，详情面谈。</t>
  </si>
  <si>
    <t>上海航天精密机械研究所</t>
  </si>
  <si>
    <t>本单位隶属于中国航天科技集团有限公司第八研究院，主要承担战术武器总体结构和总装综测、运载火箭箭体结构和大型环境试验等航天产品的研制生产任务。六十余年来先后研制生产了多个型号产品，为国防主战装备，参与研制了多个系列的运载火箭。作为中国航天和军工行业的骨干单位，为中国航天事业和装备现代化做出了杰出贡献。</t>
  </si>
  <si>
    <t>产品现场工程师</t>
  </si>
  <si>
    <t>1、熟悉装配流程，掌握机械结构，能阅读具有一定难度的零件图样和工艺文件；2、熟练使用CAD等绘图软件进行图纸查看，熟练运用Word、Excel等办公软件工具；3、具备机械零部件、电子设备或产品总装的装配作业经历优先；4、学历要求为大专及以上。</t>
  </si>
  <si>
    <t>招投标专员</t>
  </si>
  <si>
    <t>工资待遇：实习生3000元+500元全勤奖，提供完善的培训，实习表现优秀者毕业后优先录用。录用后缴纳四金，提供年终奖、高温费、大礼包，详情面谈。任职要求：1.五官端正、形象气质好，年龄25-40岁。2.善于协作与沟通，具备良好的团队合作精神。3.具有敏锐的市场洞察力和分析能力，能及时充分的把握产品和服务的市场变化及竞争对手状况;较强的社交能力和独立的办公能力。4.熟练运用办公软件，善于公文写作、报告等。5.具有吃苦耐劳的精神。岗位职责：1.对供应商选用条件进行资格预审;能独立完成、编制项目合同;对于各项采购合同应有独立审核能力并提出合理性的意见、建议。2.有精准编制项目预算和成本效益分析的能力。3.能独立完成招投标工作，对主要招投标网站熟悉并能独立操作。4.负责部门内相关材料的收集整理等。5.领导交代的其他工作。</t>
  </si>
  <si>
    <t>平面设计师</t>
  </si>
  <si>
    <t>岗位职责：1.负责公司的宣传资料、平面设计等工作。2.负责公司广告宣传品平面设计及制作。3.与其他部门、策划人员充分沟通，分析市场策划方案及制作需求，充分理解意图，设计和创作平面方案。4.负责对广告、宣传彩页、宣传海报等的设计与制作。5.负责公司大型市场活动、展会、公司内部活动宣传品的设计与安装、实施。6.完成领导安排的其他工作。岗位要求：1.专科及以上学历，广告视觉、平面设计等相关专业毕业；2.1年以上平面设计工作经验；3.熟练使用Photoshop/illustrator/Coreldrew/等设计软件；4.具备平面广告设计、网站设计制作技能；5.较强的理解分析、创意设计能力和色彩搭配能力；6.主动性高，善于沟通、耐心细致，有较强的责任心。7.欢迎应届毕业生/兼职实习前来咨询。</t>
  </si>
  <si>
    <t>服装设计与工程,艺术设计学,视觉传达设计,服装与服饰设计,设计艺术学,艺术设计,视觉传播设计与制作,广告设计与制作,产品艺术设计,设计学类</t>
  </si>
  <si>
    <t>电商运营专员</t>
  </si>
  <si>
    <t>岗位职责：1.熟练操作SEO优化，熟悉天猫商城、京东等的运营环境及其交易规则、营销工具和促销活动，可独立完成旗舰店内外营销活动的策划和管理2.分析店铺的销售数据，合理安排并改进销售计划，对店铺商品的陈列及主推商品的广告企划提出自己的建议，并跟踪落实展示3.统筹店内售前沟通、售后处理等，合理调配相关工作人员，优化工作效率任职要求：1.大专以上学历，性别不限，经管类、广告传媒类、计算机、网络、电子商务等相关专业，有天猫商城、京东店铺销售经验者优先；2.工作细心，具有很强的责任心和敬业精神、快速的学习能力、优秀的团队合作精神，良好的沟通和协调能力；3.有学生会经历、有驾照者优先。欢迎应届毕业生。</t>
  </si>
  <si>
    <t>国际经济与贸易,贸易经济,英语,网络与新媒体,传播学,广告学,新闻学,广播电视学,工商管理,市场营销</t>
  </si>
  <si>
    <t>上海淼鹏文化传媒有限公司</t>
  </si>
  <si>
    <t>河马娱乐公司深耕直播（电商直播+娱乐直播）及短视频拍摄业务，目前服务400+位主播；在短视频拍摄及运营方面有丰富的经验及成熟的团队，公司为素人提供短视频制作策划拍摄，电商直播产品供应链提供，电商活动策划，娱乐直播运营，游戏直播策划运营，素人培养，艺人孵化等。</t>
  </si>
  <si>
    <t>新媒体主播</t>
  </si>
  <si>
    <t>1：负责拍摄短视频2：负责直播间粉丝互动</t>
  </si>
  <si>
    <t>行政前台</t>
  </si>
  <si>
    <t>1：负责招聘邀约接待2：负责前台卫生保持3：数据统计周六周日双休，有师父带</t>
  </si>
  <si>
    <t>岗位职责：1.负责公司官网、双微公众号的频道规划、内容编辑、输出，日常运营和维护；提高品牌影响力和访客流量，提升用户的关注度和粘性；2,负责抖音、B站等新媒体账号的日常运营和维护，粉丝互动，提升粉丝总量和转化率；1,负责公司品牌、企宣方案的制定、撰写、挖掘、提炼、内外部对接、日常运营，提升文宣内容质量和品牌形象；2,新闻媒体对接，媒体稿件的编撰、审核，内部文宣；3,公司宣传片、宣传册等文宣物料的脚本策划、拍摄制作、剪辑、发布及推广，协助销售部门树立品牌形象；4,负责日常文宣材料设计、制作（宣传材料，包括海报、单页、宣传册、展架、H5、PPT等）5,负责外部展会布展事宜（总体展示方案、展台设计、展品、宣传册、人员协调、宣传材料、展会文宣等）；6,完善舆情监测、管理，优化公共关系、舆论环境；7,行业及竞品分析；任职要求：1、3年以上新媒体运营经验，熟悉社交媒体平台的运营规则和推广手段。2、具备优秀的写作、编辑、策划能力，能够独立撰写高质量的推广文案。3、熟练使用Photoshop、Premiere等多媒体编辑软件。4、熟悉社交媒体数据分析，具备数据驱动的运营思维5、具有一定的抗压能力并能接受出差；6、有驾驶证和实际驾车经验者佳。</t>
  </si>
  <si>
    <t>销售工程师（试剂耗材类）</t>
  </si>
  <si>
    <t>工作职责：1、负责所辖区域内的销售工作。2、定期拜访客户；收集客户订单。3、接受并协助公司处理客户投诉。4、定期反映市场信息；完成区域内销售任务；确保货款按时回收。基本要求：1、生物、医药、食品、环境、化学或营销类相关专业，专科及以上，35岁以下2、能吃苦，有开拓能力和敬业精神。3、为人诚恳，团队意识强。4、性格开朗,具有良好的人际沟通能力,有较强的客户服务意识。5、英语良好，能熟练使用电脑。6、有相关工作经验者优先考虑。公司福利：1、双休2、五险一金/带薪休假（随工龄增长）3、餐费补贴4、重视员工发展，定期提供系统的培训（优秀员工有出国培训机会）5、年度体检6、年度旅游7、依照法定执行节假日休息8、节日福利，新婚及生育津贴面试地点：上海投递简历时请附近照一张</t>
  </si>
  <si>
    <t>上海电气电站设备有限公司上海发电机厂</t>
  </si>
  <si>
    <t>上海电气电站设备有限公司上海发电机厂（原上海汽轮发电机有限公司）隶属于上海电气集团股份有限公司电站集团，由上海电气和德国西门子公司共同投资组建。上海发电机厂于1995年12月正式成立，主要从事火电、核电、燃机领域的大型发电机成套产品的研发、设计和制造。企业融合了上海电机厂四十多年汽轮发电机设计制造经验与德国西门子、美国西屋公司的先进技术和管理理念，牢牢占据着汽轮发电机行业的领导地位。企业以成为世界一流，具有持续发展能力与国际竞争能力的发电机制造企业为愿景，致力于技术创新，形成了以中科院院士、企业博士后工作站为主体的技术创新体系，已经在超超临界1000MW级火电、核电及燃气轮发电机等重大项目上实现了历史性突破，多次荣获国际和上海市科技进步一等奖、国家重点新产品等荣誉称号，产品出口巴基斯坦、伊朗、印度、孟加拉、越南、俄罗斯、巴西等国家，在国家“一带一路”战略和上海电气国际化战略带动下，产品已出口至19个国家,共107台机组。其中，百万核电、百万火电均为中国首台出口机组。企业先后获得上海市职工最满意企业，全国五一劳动奖，上海市文明单位，上海市市长奖。上海发电机厂作风务实，积极进取，凭借创新的技术和先进的管理正在奋力拓展国际市场，力争做全球最具竞争力的发电机供应商，用优良的电力装备助力中国工业腾飞，为世界提供高效绿色的能源动力。</t>
  </si>
  <si>
    <t>技术工人</t>
  </si>
  <si>
    <t>机电一体化专业大专生技术工人岗金加工机修钳工</t>
  </si>
  <si>
    <t>挪亚检测认证集团有限公司</t>
  </si>
  <si>
    <t>挪亚检测认证集团(NOA|挪亚)成立于1999年，是一家独立、公正及专业的综合性检验、检测、认证以及研究研发和品质保障服务机构，集团总部位于中国上海。NOA|挪亚是中国最早从事检验、检测及认证的第三方服务机构之一。NOA|挪亚已获得中国国家认证认可监督管理委员会（CNCA）批准（CNCA-R-2002-51）和中国计量认证(CMA)的资质评定，并且已通过中国合格评定国家认可委员会（CNAS）及美国国家标准协会-美国质量学会认证机构认可委员会（ANAB）、英国皇家认可委员会（UKAS）、澳大利亚和新西兰联合认可体系（JAS-ANZ）、美国国际认可服务(IAS)的多重认可，并获得QC080000有害物质过程管理体系认证IECQ的认可资格，是上海市高新技术企业。NOA|挪亚拥有5个全资检测、认证、检验(监理)公司，2个控股中外合资检验认证机构，1个欧洲(荷兰)综合认证机构，9大综合事业部，13个国内分支机构，近30000平方米的中央检测实验室，1450名员工。NOA|挪亚作为一家独立的第三方检验、检测、认证及研发机构，服务能力覆盖石油化工、海洋工程、电力工程、矿山港口设备、通用设备制造、轨道交通、电子电器、日化产品、生物医药以及多个消费品领域；服务范围包括体系认证、服务认证、产品认证、第三方检验、设备监造、工程项目管理、新能源检测、计量校准、消费品检测、材料检测、环境检测、人体功效实验以及医药研发、检测分析等。NOA|挪亚拥有综合研发中心，服务于产品的成分研究、生产工艺优化与创新研发。同时，在荷兰、法国、土耳其、俄罗斯、哈萨克斯坦、越南、约旦以及塞尔维亚等“一带一路”沿线国家，NOA|挪亚为科研合作、进出口贸易、电力工程、海洋工程、石油化工等诸多领域提供检测、检验、工程项目管理及研发等其他技术服务。NOA|挪亚始终秉持原则与坚持，围绕矢志打造百年挪亚的目标，以负责任的态度可持续发展，严格履行社会责任，立志为客户和消费者提供最优质的品质保障服务。</t>
  </si>
  <si>
    <t>计划管理实习生</t>
  </si>
  <si>
    <t>岗位职责：1、负责初审、监督、再认证审核计划安排和变更调整（根据销售订单合理安排审核员（技术员）去企业现场出差行安排）；2、负责审核现场发生的变更及异常处理；3、负责核对数据及上报；4、负责领导交办的其他事务任职资格：1、大专及以上学历，有实习工作经历优先。2、工作踏实、耐心细致、思维清晰、做事有条理，能够承受一定工作压力；3、积极主动、具有良好的人际沟通能力、高度的工作热情、良好的团队合作精神；4、具有良好的内外部服务意识；5、期望你是26届毕业，准大三、准大四学生，学校没有课程的优先。期望一周至少可实习5天。可以接受从暑期开始实习！！！但是，期望至少实习4-6个月哦，只能暑假实习的不行哦。不提供住宿，可以看一下通勤是否方便哦。园区交通便利，多条班车线路（2号线广兰路）及地铁14号线可以直达。欢迎有意愿在认证行业长期发展的有志之士加入！！挪亚检测认证集团，99年成立，总部位于上海，全国14+办事处，2个海外子公司。公司集检测、检验、认证为一体的集团性公司。公司管理制度规范，晋升渠道透明。拥有带薪培训、年节礼物、车补餐补、司龄补贴等等丰厚福利。出勤朝九晚六，周末双休。</t>
  </si>
  <si>
    <t>上海南华兰陵电气有限公司</t>
  </si>
  <si>
    <t>上海南华兰陵电气有限公司是上海电气旗下的中外合资企业，是一家专业生产输配电用和新能源用高、低压成套开关设备及预装式变电站的高新技术企业。具有建委建筑业二级总承包资质，具有电监委电力设施承装三级、承修二级、承试二级资质，具备管线工程水平定向钻施工三级能力。主导产品已涵盖高压、低压、箱变、真空断路器、电子元件五大系列数十个品种与西门子、ABB、施耐德等国际知名公司长期合作产品和服务。公司注重产品质量和技术创新，拥有从美国、德国、日本引进的具有当代国际先进水平的电脑数控全套生产设备和行业内领先的开关柜自动生产流水线，坚持走高新化、智能化、小型化、成套化的创新之路。公司地址：上海市闵行区马桥镇曙光路1515号邮箱：zhangr@nhll.com.cn</t>
  </si>
  <si>
    <t>智能化设备</t>
  </si>
  <si>
    <t>岗位职责：使用智能化生产设备、完成钣金、铜排、折弯、下线等产品生产前置工序。岗位要求：1、大专及以上学历；2、机械、数控、智能制造等专业；3、具有团队协作能力、能吃苦耐劳者优先。</t>
  </si>
  <si>
    <t>月薪：3K-8K</t>
  </si>
  <si>
    <t>技能人员储备</t>
  </si>
  <si>
    <t>岗位职责：根据产品设计图纸，完成产品装配、接线等工序。岗位要求：1、大专及以上学历；2、电气类、机电类、自动化类、机械类等专业；3、具有团队协作能力、能吃苦耐劳者优先。</t>
  </si>
  <si>
    <t>月薪：3K-7K</t>
  </si>
  <si>
    <t>管理储备干部</t>
  </si>
  <si>
    <t>1、参与公司系统化培养计划，通过轮岗学习熟悉公司各业务模块（如生产、运营、市场、人力资源等）；2、协助部门负责人完成业务数据分析、流程优化及项目管理等工作；3、定期提交学习报告及改进建议，参与阶段性述职答辩；_x000b_4、学习团队管理方法论，逐步承担基层团队管理职责。1、具备快速学习能力与逻辑分析能力，能适应高强度工作节奏；2、具有优秀的人际沟通能力与团队协作精神；3、具备学生干部、社团负责人或大型项目组织经验者优先。薪资范围：6000-10000元+五险一金，优秀人员可留用，公司落户</t>
  </si>
  <si>
    <t>总经理助理</t>
  </si>
  <si>
    <t>工作内容：1.负责公司推广、项目规划以及日常运营。2.制定公司激励制度以及奖惩制度，做好公司内部人员管理。3.协助项目经理做好成本控制以及公司整体运营成本。辅助总经理对外商务洽谈，对内人员管理以及项目管理与核查。任职要求：1.有团队管理经验，负责过企业或学校的团队管理。2.从事过广告或会展行业者优先。福利：一年20天以上带薪休假</t>
  </si>
  <si>
    <t>新车销售顾问</t>
  </si>
  <si>
    <t>1、Volvo汽车市场拓展：（1）有效执行公司的各类营销策略；（2）开发潜在目标群体或客户，按时完成销量指标。2、Volvo汽车销售服务：（1）负责按公司规范流程接待客户；（2）负责向客户提供优质的咨询、售车服务、配套服务等，达成销售目标；（3）协助客户办理车辆销售的相关手续；（4）积极上报并解决售车过程中出现的问题；（5）负责对已成交客户进行跟踪服务。3、领导交办的其他工作。</t>
  </si>
  <si>
    <t>广告设计</t>
  </si>
  <si>
    <t>工作内容：1、负责企业宣传资料（如画册、海报、易拉宝、展板）的平面设计，结合品牌定位进行视觉呈现。使用设计软件（AdobePhotoshop、AdobeIllustrator等）进行图片处理、排版设计等工作。2、负责协助短视频、宣传片、活动记录等内容的剪辑和后期制作，确保视频内容流程，视觉效果突出，协助团队完成视频创意策划。3、协助团队完成其他文化传播、活动策划相关的工作。任职要求：1、艺术设计、视觉传达、广告学等相关专业大专及以上学历。2、熟悉广告设计原理、印刷工艺及数字媒体特性3、精通Photoshop、Illustrator、CorelDRAW等平面设计工具，掌握AE/PR（视频剪辑）、InDesign（排版）者优先。福利：一年20天以上带薪休假</t>
  </si>
  <si>
    <t>职位描述1、学习互联网广告公司（抖音、必应等）产品的理念、功能、应用场景及落地；2、学习公司理念和团队管理，项目执行落地经验；3、总经理直接带教，出席各种商业谈判和沙龙，拓宽高端人脉；4、负责公司内部各部门负责人之间的沟通协调，以达到高效推进项目，解决问题；5、迅速从基层向中层管理岗蜕变，能独立承接业务并完成业务输出；6、关注客户的使用情况，为客户提供运营支持服务，提高客户组织的活跃度；7、完成上级领导交代的其他任务；职位要求1、统招一本本科学历，985/211院校，工作经验1年及以上，互联网广告行业经验优先；2、有非常强的学习能力，较强的文字功底，形象气质佳；3、价值观正向、开放热情，对商业、组织有强烈的好奇心；4、较强的思考及创造力，能够超出现有框架提出并落地增值建议；5、对为客户创造价值有浓厚的兴趣；6、喜欢接受挑战、喜欢创新与实践，勤于思考；7、有非常好的表达能力，逻辑清晰、语言干练，普通话标准；8、较强的资源协调能力、合作能力、善于沟通、自驱力强；</t>
  </si>
  <si>
    <t>法学,中国语言与文化,应用语言学,汉语言文学</t>
  </si>
  <si>
    <t>360广告销售</t>
  </si>
  <si>
    <t>岗位职责：1、负责开发360搜索推广的B端广告客户的开拓；2、针对客户的常规和突发问题，有良好的分析、判断及独立解决问题的能力；3、对互联网行业新生产品或事物保持敏感度，时刻了解掌握全行业最新动态及竞品信息；4、具备良好的沟通表达能力、出色的公关客情的能力，并能对客户进行长期维护回访；5、与各团队保持良好沟通，建立深度关系，深度了解公司产业业务及相关知识。任职要求：1、学历不限，可接受优秀新人和实习生；2、性格开朗，愿意与人沟通交流，愿意挑战高薪；3、实习生可以提供免费住宿，正式工可酌情商量。</t>
  </si>
  <si>
    <t>机械工程师</t>
  </si>
  <si>
    <t>1.设备的安装与调试，故障维护与维修。2.设备售后服务，处理客户投诉，提高客户满意度。3.负责设备技术文件的编写。</t>
  </si>
  <si>
    <t>上海寻音信息科技有限公司</t>
  </si>
  <si>
    <t>上海寻音信息科技有限公司致力于美术设计外包的服务，以及文创产品的设计研发。</t>
  </si>
  <si>
    <t>游戏3D美术设计师</t>
  </si>
  <si>
    <t>岗位职责：1、负责游戏中的角色制作或场景制作，包括模型，贴图和灯光渲染等；2、协同原画，创造高品质的游戏角色，确保设计效果和实现品质一致任职要求：1、统招本科以上学历，美术相关专业毕业，具备扎实的美术功底；2、对游戏行业富有热情，具有良好的沟通能力与团队合作精神</t>
  </si>
  <si>
    <t>欧马腾会展科技（上海）有限公司</t>
  </si>
  <si>
    <t>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助力中外文化交流共鉴共存，做中国与世界文化、贸易沟通交流的桥梁，是欧马腾不变的使命和追求。业务板块：展览展示、活动管理、品牌文化馆品牌历程1.0时期，欧马腾致力于全球展览设计搭建服务，服务网络遍布全球106个国家599个城市。2.0时期，欧马腾会展打造全球会展策划运营一站式服务，为企业和品牌制定的营销方案。3.0时期，通过全球展览、体验营销、会议会务、主题盛典、厅馆建设，欧马腾重塑展示、体验、运营、推广四位一体新展览之道。4.0时期，欧马腾已是业界知名大数据时代的会展科技运营专家。企业文化我们的使命：成为全球第一的智慧会展平台我们的愿景：展通天下我们的价值观：坚守承诺合作共赢我们的企训：厚德载物</t>
  </si>
  <si>
    <t>职位需求:1.性格开朗、英语口语好，适应全球出差、具有良好的审美意识和沟通能力；2.在社会实践中做过相关的工作，热爱销售，从业过会展行业、在校学生会做过干部可优先；薪资福利待遇：1.实习期间按天计算，试用期7-10K,转正后年收入15W+；2.可协助落户上海；3.拥有了解各国文化及风土人情的机会，拓展全球化视野；4.工作环境及氛围Open，活动多样，师带徒的培养模式，助力新人扎根企业。</t>
  </si>
  <si>
    <t>上海蔚来汽车用户服务有限公司</t>
  </si>
  <si>
    <t>蔚来于2014年11月成立于上海，致力于成为一家以用户为中心的“用户企业”，为用户创造愉悦的生活方式。经过五年多的发展，蔚来已成为全球领先的高端智能电动汽车企业之一。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电机、电控、电池包、智能网关、智能座舱、自动辅助驾驶系统等核心技术的独立研发体系。蔚来在北京、圣何塞、慕尼黑以及伦敦等地设立了研发与生产机构，并建设了完备的销售服务体系，覆盖全国299个城市的用户。蔚来成立至今吸引了包括腾讯、百度、淡马锡等几十家全球知名企业和投资机构，并于2018年9月12日在美国纽交所（“NYSE”）上市。蔚来先后于2018年、2019年推出了两款定位于中高端市场的电动SUV，智能电动旗舰SUVES8和智能电动全能SUVES6，并在2019年12月正式发布了智能电动轿跑SUVEC6。三款产品都是基于蔚来自主研发的第一代高性能电动整车平台NIOPlatform1.0（NP1.0）打造。首款量产车ES8于2018年6月28日正式向公众交付，第二款量产车ES6也于2019年6月18日开始交付，EC6预计将在2020年7月公布价格和配置，9月开启交付。自2018年6月开始交付以来截至今年2月底，两款车型已累计交付34,218台，平均单车售价40万以上，在市场上获得了极高的口碑。根据中汽中心上险数统计，ES6自2019年10月起连续四个月拿下纯电动SUV市场销量冠军，并作为唯一入榜的中国品牌车型及纯电动SUV，自2019年8月起连续六个月进入豪华中型SUV细分市场前十。蔚来不但是榜单中最年轻的企业，也是唯一的中国企业，以出色的表现成为中国品牌突破向上的代表，创造了中国汽车工业的历史。不同于传统商业模式，蔚来采用App线上订购的直销模式，坚持“以用户为中心”的初衷，围绕NIOHouse、NIOSpace、NIOPower、NIOService，结合蔚来线上和线下活动，将车辆售前、售中和售后全价值链打通，从而为用户提供更加高效、优质的产品和服务，创造前所未有的愉悦购车、用车体验。NIOApp作为用户体验和服务的统一接口，其鼓励用户分享的社区属性也极大地增强了蔚来与用户的粘性</t>
  </si>
  <si>
    <t>门店协同实习生</t>
  </si>
  <si>
    <t>职位描述:1.辅助店长进行门店管理工作2.负责门店接待流程和试驾流程的规范监管3.负责门店对外运营对接工作,如:商场方,活动对接方4.门店物料的统筹与管理职位要求1.全日制本科及以上学历,专业不限2.有汽车销售或展厅运营经历优先3.有亲和力和责任心,注重细节,有较强的团队合作能力;4.对汽车行业、蔚来品牌定位、企业理念和产品知识具有极高的热情5.能适应灵活的工作安排</t>
  </si>
  <si>
    <t>日薪：200/天</t>
  </si>
  <si>
    <t>蔚来顾问实习生</t>
  </si>
  <si>
    <t>（全上海门店就近分配）职位描述:1.用户接待,增强现有用户品牌忠诚度;2.准确地向用户传递并耐心讲解蔚来品牌与产品,并传递蔚来价值观;3.根据销售策略和团队目标,制定工作计划,销售目的达成;4.开展营销活动,不断创新、积极主动地吸引潜在用户。职位要求1.统招全日制本科及以上学历在读，26届以后;2.有驾照,驾驶技术熟练;3.优秀的沟通能力和谈判能力及自我学习能力;4.可实习3-6个月,每周至少出勤3-4天</t>
  </si>
  <si>
    <t>上海丸菱贸易有限公司</t>
  </si>
  <si>
    <t>日本丸菱集团发源于日本熊本县，专业从事烘焙行业70余年，在日本市场拥有极高的知名度，目前业务范围自东亚向东南亚延伸，覆盖中国，韩国，马来西亚，越南。上海丸菱贸易有限公司是日本丸菱集团旗下的全资子公司，是一家集原料供应，机械销售与前后期技术支持于一体的食品综合企划公司。公司最新办公地点：闵行区园美路109号（大零号湾健康云城）</t>
  </si>
  <si>
    <t>营业担当-上海</t>
  </si>
  <si>
    <t>招聘要求：1、会日语优先2、思想品行端正、工作态度踏实、身体素质良好、学习欲望强烈3、性格活泼开朗，善于沟通交流和协调人际关系，具有团队意识4、熟练操作常用办公软件5、热爱烘焙行业和本职工作工作内容：1、定期拜访客户，推荐最新产品，了解客户需求2、满足客户的业务需求，协调各方保障客户的订货流程正常进行3、配合财务的货款回收工作，及时提醒和督促不及时履行付款义务的客户4、收集市场情报、掌握行业动态，规划和制定合理的销售路线和计划5、维护好现有客户的基础之上，积极开发新客户和经销商，拓宽销售渠道6、努力完成个人销售任务，确保公司完成年度销售目标</t>
  </si>
  <si>
    <t>月薪：8K-9K</t>
  </si>
  <si>
    <t>市场营销,日语</t>
  </si>
  <si>
    <t>助理制造工程师</t>
  </si>
  <si>
    <t>工作职责1、参与处理芯片产品和设备异常、资材短缺等变动情况，应用各种自动化系统，确保生产线持续平顺运行和交付；2、严格执行质量管理制度，对生产中的品质问题进行监督和控制；3、严格执行安全管理制度，确保生产现场人员和设备的安全。任职要求1、大专以上学历，电子信息、机械自动化等理工科相关专业优先；2、了解半导体工艺制造流程；3、具备良好的沟通能力和团队合作精神，具备独立工作、分析和解决问题的能力；4、能接受日夜轮班。</t>
  </si>
  <si>
    <t>艺术设计类</t>
  </si>
  <si>
    <t>培养方向：平面设计师、工业设计师岗位要求：①2026届毕业生，本科及以上学历；②美术设计、视觉设计、平面设计、工业设计或产品设计等相关专业优先；③执行力强，能够迅速应变、高效完成设计需求；④良好的沟通能力及执行力，较强的团队协作能力；④扎实的美术功底，良好的设计表现力，良好的创意思维及审美。</t>
  </si>
  <si>
    <t>文案编辑</t>
  </si>
  <si>
    <t>岗位职责：-负责视频剪辑相关工作，熟练运用视频剪辑软件进行视频制作。-完成基础版面设计任务，助力品牌宣传物料呈现。-独立撰写各类文案，发挥良好文字功底，展现品牌特色与优势。任职要求：-大学二、三在读学生优先，文科、文学或相关文科专业优先考虑。-每周工作时间不少于3天，能保证实习工作的稳定开展。-熟练掌握视频剪辑软件操作，具备一定的版面设计基础，有较强的文案撰写能力。-学习能力强，有责任心，对企宣品牌宣传工作有热情，具备团队协作精神</t>
  </si>
  <si>
    <t>货代商务/市场专员（实习生）</t>
  </si>
  <si>
    <t>岗位职责：1、根据不同渠道维护已有船公司、庄家等供应商；2、根据不同渠道开发新的船公司、庄家等供应商；3、承接海外销售部及本地销售同事的询价；4、收集市场信息，负责航线价格体系的维护和完善，定期更新市场价格体系；5、及时在公司内部做市场信息公布，如航线运价走势，各船公司对于运价及载货方面的新规定；6、及时解决仓位，操作异常等突发事件；7、及时完成上级交办的其他工作。薪资待遇：1、合理优厚的薪金：基本工资+绩效奖金+补贴+年终奖等,2、完善的假期组合：带薪年假、带薪病假及法定假期；3、齐全的福利体系：养老保险、医疗保险+补充医疗保险、生育保险、工伤保险、失业保险及住房公积金；4、丰富多彩的员工活动：员工聚餐、节日晚会、旅游活动、优秀员工表彰活动等；5、多元化培训课程：带薪岗前培训，在职个人提升计划；6、良好晋升机会：内部转职（横向发展）、纵向提升；</t>
  </si>
  <si>
    <t>日薪：180-200/天</t>
  </si>
  <si>
    <t>上海三枪（集团）有限公司</t>
  </si>
  <si>
    <t>上海三枪（集团）有限公司简介三枪品牌历史介绍：上海三枪（集团）有限公司是东方国际旗下龙头股份下属的一家以发扬民族品牌“三枪”为核心优势的“老字号”品牌企业，公司集面料研发、针织生产、染整加工、面料测试能力、品牌销售于一体。上海三枪（集团）有限公司的母体企业是上海针织九厂，上海针织九厂的前身为莹荫针织厂，创建于1928年，董事长王衍庆、经理干庭辉。1936年，干庭辉在射击比赛中第三次夺冠，1937年注册了“三枪”商标。1937年抗战爆发，“三枪”品牌也寓意“提倡使用国货，抵制日货”的含义，“三枪”品牌在上海及华东地区畅销。因此，“三枪”品牌从诞生之日起，便饱含着民族之情和爱国之心，具有“爱国”、“争第一”的精神品格。1954后公私合营时，有30余家小型厂并入，1966年改名为上海针织九厂。1994年，上海针织内衣（集团）公司改制为上海三枪（集团）有限公司，针织九厂成为三枪集团的母体企业，实现了商号与商标的统一，公司原址位于卢湾区黄陂南路888号。九十年代，在上海纺织大调整的背景下，上海针织九厂通过兼并多家纺织亏损企业，既为纺织调整挑了重担，减轻了社会压力，同时也实现了三枪品牌的优势扩张。1999年，为响应上海市政府市区内“三废治理，异地生产”的号召，公司投资3.4亿元（其中3500万元用于环保设施建设），搬迁到康梧路555号，建设生产基地，并于2002年正式竣工投产。当时列为上海市政府重大工程项目，国务院副总理吴邦国亲自提名“三枪工业城”。“三枪工业城”总占地面积228亩，建筑面积92925.84平方米。根据上海“五个中心”建设的发展要求，为配合政府的总体规划发展，跟进东方国际集团，走“科技与时尚”为主导的高端纺织产业之路的要求，2017年12月三枪将三枪工业城内的制造板块整体搬迁至江苏大丰，建造了中、高档面料产业基地。新工厂占地面积93亩，总投资1.57亿元，年生产规模为9000吨，主要生产高支高密丝柔面料、派丝特纤维面料、Lyocell纤维面料、德国腈纶dralon纤维面料、生物改性蛋白纤维针织内衣面料等新型面料，其中多个产品被评为上海市高新技术产品，具有良好的市场应用前景及较高的产品附加值。制造业搬迁后，原三枪工业城针织大楼1-3层经历了全面的改造、装修，仓储物流也作了相应的场地调整。2018年12月份，龙头股份下属各事业部、三枪销售等部门于完成入驻，三枪工业城完成了由生产型基地向设计、研发、办公、物流的转型。三枪产品历史介绍：上海三枪集团生产的“三枪品牌”高档内衣系列产品，以棉、麻、丝、毛、混纺、化纤等为主要原料。60~70年代：在70年代，一人二套42支双股闪色棉毛衫裤是新人结婚的必备品，象征牢固长久，是一辈子。80~90年代：80年代末，柔暖棉毛的诞生，改变了消费者对棉毛衫裤的认识，是棉毛衫裤的一次革命性的颠覆。2000年代，与美国莱卡纤维合作，开创了莱卡在内衣运用上的先河。2010年代，推出了德绒产品、密棉产品、羊毛绒蛋白以及匠心系列产品。2020年代，推出了热力弹系列产品，这款自主研发的的科技面料，通过特殊工艺实现横向拉伸高达260%，是业内屈指可数的无尺码保暖衣系列。现在，“三枪”品牌，已发展成为全品类的服饰品牌。产品覆盖内衣类，打底，休闲，T恤，户外，家居类，袜品，文胸，童装，热敷，家纺以及拖鞋、手套、围巾等配套类。三枪产品历史介绍：上海三枪集团以“三枪品牌”为核心优势，拓展积极广泛的战略合作，实现优势互补，共同发展。自三枪成为美国杜邦公司“全球最佳合作伙伴”后，三枪超凡的“双赢”能力，使得美国的道康宁公司、华特迪士尼公司、奥地利兰精公司、意大利Navigare品牌、时代华纳等著名集团先后与三枪建立起各种形式的合作，极大地提高了三枪集团在国际上的知名度。历经86年峥嵘岁月，“中华老字号”三枪内衣已成为享誉全国、闻名东南亚的民族品牌，连续27年雄踞全国市场占有率第一。根据东方国际“全球布局，跨国经营”战略布局，三枪线上线下并举，构筑营销网络，线下拥有营销网点超过3000家，通过跨境电商，产品远销世界60多个国家和地区。美国摩根•斯坦利公司认为三枪拥有中国内衣市场最为完善的营销渠道。在响应国家“一带一路”的建设号召下，龙头埃塞俄比亚工厂于2018年4月28日在“亚的斯亚贝巴”开业，标志着公司产业链延伸到了非洲地区。“贸易先行、制造落地、品牌出海”的跨国经营战略，取得了重大进展，开启了“三枪”全球销售的宏伟蓝图。</t>
  </si>
  <si>
    <t>“三枪未来之星”管培生项目介绍“铸未来”是一种态度，也是一种能力的体现。“三枪未来之星”管培生项目志在吸纳、培养一批充满热血有干劲的大学生，通过零售工作实践变身多面手，三年内掌握经营百万营收店铺所需要的技能，逐步发展成为分公司经理——区域经理——三枪品牌合伙人。我们提倡完全实力主义，一切让能力和才华说话。你将走上零售行业发展的快车道，我们将和你一起挖掘潜力，打破边界，拥抱多元，实现价值。具体来说，工作职责包括：1.学习和掌握公司的产品和服务，了解行业趋势和市场需求；2.负责公司店铺资源的开发和运营，并建立和维护良好的客户关系；3.参与销售计划的制定和执行，制定合理的销售策略和计划；4.收集客户需求和市场信息，对市场变化做出快速响应；5.参与竞品分析和市场调研，为公司的销售策略提供数据支持和市场洞察。如果你是：1.2023/2024届本科及以上学历（市场营销、纺织类相关等专业尤佳）；2.亲和力、自驱力、学习力、应变力强；3.条理清楚、思维敏捷、积极进取、吃苦耐劳；4.热爱时尚、服装零售行业；5.能接受常驻外地工作，并认同公司的战略和人才培养规划。全国分公司所处位置：北京、浙江杭州、江苏南京、广东广州、四川成都、湖北武汉、辽宁沈阳、山东济南、陕西西安和河南郑州。成长路线：Step1：参与总部为期六个月的集训与轮岗，了解品牌的产品研发、生产、检验、物流周转等流程；Step2：获得在不同分公司营销管理岗位的职位，着手销售业务的学习与实践，掌握更多地域的市场特点和资源；Step3：成长为分公司的业务骨干，争取胜任分公司业务主管、经理相关职位的机会；Step4：能在多个销售地域顺利开展业务，协调管理，成为区域经理；Step5：竞争总部更高的职位，或挑战其他领域的职能，成为复合型高端人才；注：上海总部和外地分公司都会提供免费员工宿舍（仅限非本市户籍的同学）。</t>
  </si>
  <si>
    <t>上海福旦文化传媒有限公司</t>
  </si>
  <si>
    <t>上海福旦文化传媒有限公司成立于2021年11月04日，经营范围包括一般项目：组织文化艺术交流活动；摄影扩印服务；摄像及视频制作服务；文化用品设备出租；电影摄制服务；广告设计、代理；广告发布；广告制作；品牌管理；文具用品批发；数字内容制作服务（不含出版发行）；会议及展览服务；信息咨询服务（不含许可类信息咨询服务）；企业形象策划；市场营销策划；翻译服务；图文设计制作；平面设计；技术服务、技术开发、技术咨询、技术交流、技术转让、技术推广；电子产品销售；体育用品及器材零售；文具用品零售；日用百货销售；乐器零售；化妆品零售；鞋帽零售；玩具、动漫及游艺用品销售；玩具销售；工艺美术品及收藏品零售（象牙及其制品除外）。</t>
  </si>
  <si>
    <t>后期制作</t>
  </si>
  <si>
    <t>工作认真，会用AEPrps,熟悉影视的流程，听从领导安排，工作积极</t>
  </si>
  <si>
    <t>上海小鹏汽车销售服务有限公司</t>
  </si>
  <si>
    <t>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全球新能源汽车行业IPO纪录，股票代码为“NYSE:XPEV”；2021年7月7日，小鹏汽车挂牌香港联交所，股票代码“9868.HK”，成为首个在中国香港和美国纽约两地双重主要上市的中国造车新势力。</t>
  </si>
  <si>
    <t>新媒体运营实习生/新媒体运营助理</t>
  </si>
  <si>
    <t>薪酬：岗位薪资+不封顶提成六险一金：六险一金（养老保险、医疗保险、工伤保险、失业保险、生育保险、商业保险、住房公积金）假期：国家法定节假日及带薪年假其他福利：年度免费体检、节日礼包、优惠内购、餐补、打车补贴、健身房、健康小屋等</t>
  </si>
  <si>
    <t>汽车售后实习生</t>
  </si>
  <si>
    <t>售后业务实习生服务类岗位职责1、客户接待及客户关系维护；2、各项维修活动及现场协调支服务专家、产品交付等持等任职资格1、具备优秀的沟通协调能力2、有较好的服务意识3、专业不限技师类岗位职业1、支持客户完成各类故障诊断、维修等；2、为维修质量负责，提升客户配件、洗美等专业技师满意度任职资格1、相关专业背景机电维修、钣金、喷漆、2、有电工/技师/驾照等证书优先3、钻研技术，吃苦耐劳</t>
  </si>
  <si>
    <t>交付实习生</t>
  </si>
  <si>
    <t>岗位职责：协助客户提车用户到店接待、签到、流程引导，解答用户提车疑问，确保客户在提车时能够得到良好的体验和服务；协助用户填写相关交付文件和手续等，并确保所有文件的准确性和完整性；向客户介绍产品的功能、操作方法、用车场景等相关信息，解答客户的疑问；维护交付接待区的整洁和有序，确保环境符合公司形象和标准；岗位要求：大专及以上学历优先，形象气质佳，渴望成功，热爱销售工作。较强的亲和力和服务意识，出色的沟通和客户服务能力。结果导向，较强抗压能力及快速学习能力，能接受排班制工作。拥有良好的团队意识，成为可靠的团队成员。持有驾照且无不良行驶记录。对科技/汽车感兴趣，对小鹏汽车的品牌/产品/文化高度认同。</t>
  </si>
  <si>
    <t>新零售实习生</t>
  </si>
  <si>
    <t>岗位职责：为客户提供热情服务，向客户传递品牌价值、展示产品，保证最佳的客户体验。建立良好的客户关系，并通过提供极致的客户体验提高客户对品牌产品认可。引领客户试驾，解答客户疑虑，确保极致的试驾体验。岗位要求：大专及以上学历优先，形象气质佳，渴望成功，热爱销售工作。汽车行业销售或零售行业相关销售经验优先。较强的亲和力和服务意识，出色的沟通和客户服务能力。结果导向，较强抗压能力及快速学习能力，能接受排班制工作。拥有良好的团队意识，成为可靠的团队成员。持有驾照且无不良行驶记录。对科技/汽车感兴趣，对小鹏汽车的品牌/产品/文化高度认同。</t>
  </si>
  <si>
    <t>思源电气股份有限公司</t>
  </si>
  <si>
    <t>我们的“成长”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我们的业务我们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智能制造企业。我们为电力、新能源、冶金、轨交、石化、煤炭、港口、数据中心等多个行业服务，为世界首个500千伏张北柔性直流电网工程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我们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t>
  </si>
  <si>
    <t>2025校招-工程岗</t>
  </si>
  <si>
    <t>需求岗位：电气设计工程师、试验工程师，生产计划专员，采购工程师，工艺工程师等；第一年会长期出差要求：1、专业要求：电气类、自动化类、测控类；2、英语过四级3、工作地点：上海，南京，如皋</t>
  </si>
  <si>
    <t>电气工程及其自动化,电气工程与智能控制,电气自动化技术,电气类,电气工程,自动化,电力系统及其自动化,测控技术与仪器</t>
  </si>
  <si>
    <t>2025届校招研发岗</t>
  </si>
  <si>
    <t>需求岗位：电气工程师、机械工程师、硬件工程师、软件工程师、热设计工程师、工艺工程师、系统工程师等；要求：1、专业要求：电气、机械、自动化类；2、博士/硕士；3、工作地点：上海，南京</t>
  </si>
  <si>
    <t>月薪：11K-20K</t>
  </si>
  <si>
    <t>机械工程,机械设计制造及其自动化,电气工程及其自动化,电气工程与智能控制,自动化</t>
  </si>
  <si>
    <t>PM</t>
  </si>
  <si>
    <t>负责游戏美术项目管理工作，工作内容包括：1、负责与客户沟通与客户关系维护；2、制作资料整理，保障信息准确及时传达；3、及时发现并解决项目问题，有效预防及管理风险；5、制定有关计划，报告，时间表；6、协助领导做好项目统计工作；7、跟踪任务，及时解决问题保证产品顺利完成。任职要求：1、性格开朗，外向2、朝鲜族/日韩欧美留学经历为加分项；3、较强的沟通能力，并能够较好的协调各方面的关系；4、熟练运用办公软件；5、全日制本科及以上学历；6、接受热爱游戏，但没有相关工作经验的同学，会有专人带教的工作时间：9:30-18:00周末双休</t>
  </si>
  <si>
    <t>应用韩语,日语,英语,商务英语</t>
  </si>
  <si>
    <t>无线电装调工</t>
  </si>
  <si>
    <t>任职要求：电子、电气类专业，大专及以上学历，高级工等级，具有较好的理论基础和扎实的技能水平，工作仔细，能适应加班、出差，吃苦耐劳，从事航天产品的电子装联调试工作。</t>
  </si>
  <si>
    <t>浙江森马服饰股份有限公司</t>
  </si>
  <si>
    <t>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森马服饰致力于打造全球多品牌时尚产业公司，旗下有成人品牌集群、儿童品牌集群：•成人品牌集群：SEMIR、JuiceCouture、MarcO’Polo、JasonWu、GleMall•儿童品牌集群：Balabala、MarColor、COCOTREE、TheChildren’sPlace、miniBalabala其中，主力品牌“森马”和“巴拉巴拉”分别是中国成人休闲装领域和童装领域的领军品牌。森马怀抱“成为全球领先的时尚服务提供商”的愿景，以“小河有水大河满”作为公司经营哲学，追求企业与员工、企业与社会之间的和谐发展，期待有才能的你加入我们！</t>
  </si>
  <si>
    <t>财会方向（25届）</t>
  </si>
  <si>
    <t>岗位职责：1、轮岗财务稽核、应收管理、应付管理、总账模块等财务工作，完成日常结算、财务报表出具；2、协助税务筹划工作；3、支持审计、上市公司信息披露工作；4、推动日常业务流程优化，规范新业务流程，支持业务发展，成为高素质的财务专业人才。招聘要求：25届应届本科及以上学历，财会相关专业，具有较强的责任心、良好的学习能力、良好的沟通能力和团队合作能力。</t>
  </si>
  <si>
    <t>上海飞帆广告有限公司</t>
  </si>
  <si>
    <t>上海飞帆广告有限公司成立于1992年,企业性质为混合所有制，是中国一级广告企业，连续20年被评为上海市守合同重信用企业（AAA级）。公司为中国广告协会理事单位、中国广告协会户外分会副会长单位、上海市广告协会副会长单位；曾荣获中国十大领军媒体公司、中国广告协会户外广告分会十强领军企业、中国市区大牌媒体公司20强、中国户外广告企业百强榜公司、中国户外广告四十年优秀企业。企业的业务板块包括：户外媒体开发与发布、品牌活动策划、景观设计执行、标识标牌制作、景观灯光工程、数字化营销等。企业一贯坚持“诚信经营、客户至上、合作共赢”经营理念，始终秉承以自身专业知识、高效务实作风、科技创新思路，企业在稳健中求发展。</t>
  </si>
  <si>
    <t>市场拓展人员</t>
  </si>
  <si>
    <t>专业不限，有广告行业销售经验者优先；性格开朗，沟通能力强，具有良好的客户服务意识；有责任心，能承受较大的工作压力。</t>
  </si>
  <si>
    <t>服装设计助理</t>
  </si>
  <si>
    <t>岗位职责：1、会运用服装设计、软件服装制版及制作；2、有相关绘画基础与造型的能力，掌握服装的款式、色彩和面料的三大基本要素。3、对服装的结构设计、裁剪和缝制的理解；4、善于收集信息，多方向学习，会熟练运用计算机能力；5、有团队合作精神。任职条件：1、本科及以上学历，服装设计相关专业；2、熟练掌握photoshop,AI等软件制作服装图稿；3、有服装设计相关基础，本人喜好服装设计；4、有较好的沟通能力。注：上海总部和外地分公司都会提供免费员工宿舍（仅限非本市户籍的同学）。</t>
  </si>
  <si>
    <t>服装设计与工程,服装与服饰设计</t>
  </si>
  <si>
    <t>工程类</t>
  </si>
  <si>
    <t>招聘人数：若干职位描述：从事工程设计工程师、质量工程师、验证工程师等岗位工作。任职要求：1、本科、硕士2024、2025届毕业生；2、专业：电气工程及其自动化、电气工程、机械设计及其自动化、机械工程等专业；3、专业技能：熟悉常用二维及三维制图软件的使用（CAD、Soildworks等）；4、诚实守信，有上进心，较好的表达沟通能力。</t>
  </si>
  <si>
    <t>月薪：面议</t>
  </si>
  <si>
    <t>营销类：国内及海外客户经理、客户经理助理</t>
  </si>
  <si>
    <t>职责描述：1、收集目标主运营商的市场规划、投标资质、技术方案决策、项目采购决策等，确定主运营商的客户联系人，并进行决策人分析，负责开发和维护区域内客户关系；2、负责按照公司要求开展产品需求信息的收集或调研活动，收集竞情及其他市场信息并传递；3、负责线索的收集、培育并跟踪；负责项目商务合同谈判与签订，协助技术协议签订，负责线索到合同的项目总结；4、负责交付过程中的客户沟通及问题解决，协助管理项目执行风险，并提出应对措施，负责交付项目的开票并回收货款，协助完成合同到现金项目总结。</t>
  </si>
  <si>
    <t>海外业务方向（25届）</t>
  </si>
  <si>
    <t>工作职责：1.品牌推广与本地化：负责品牌的海外渠道拓展推广，包括线上和线下渠道的整合营销活动，以及品牌信息的本地化调整，确保品牌在不同文化背景下的有效传播。2.客户关系管理：建立和维护与海外客户的关系，包括客户服务、反馈收集和处理，以及建立长期的客户忠诚度。3.数据分析与报告：定期收集和分析海外市场数据，包括销售报告、市场趋势、客户反馈等，为公司决策提供数据支持。4.团队协作与跨部门沟通：与公司内部的产品设计、生产、物流、市场等部门密切合作，确保海外运营活动的顺利执行。5.危机管理：应对海外市场中可能出现的突发情况，如供应链中断、市场变化、政策调整等，制定应急计划和解决方案。6.预算管理：负责海外运营的预算规划和成本控制，确保营销活动和运营成本在预算范围内。任职资格：1.25届本科及以上学历，专业不限。2.需要具备良好的中英文沟通能力，包括书面和口头表达，对目标市场的本地语言熟悉尤佳。3.对服装行业有兴趣，包括时尚潮流、服装面料、设计趋势等。4.具备与不同文化背景的人有效沟通的能力，特别是目标市场的文化和商业习惯。5.擅长使用数据分析工具。6.需要具备较强的抗压能力和自我驱动力。本岗位先在国内培训，培训后派至国外工作</t>
  </si>
  <si>
    <t>德语,法语,意大利语,西班牙语,菲律宾语,泰语</t>
  </si>
  <si>
    <t>电商运营助理</t>
  </si>
  <si>
    <t>写在岗位职责之前：该岗位为运营助理/专员级的岗位，涉及到多个店铺平台的店铺运营，如天猫、京东、唯品会、猫超、拼多多等平台。如果您之前有一段时间的国内电商店铺运营经历；或者是21-22年应届生，但对店铺运营有一定的了解的认识；属于敢于拓展、外向大方，能够承担挑战和压力的人选，这个岗位会更适合您来应聘。我们的上班时间是9：00-17：00，坐五休二，试用期会有部门负责人制定阶段性成长、工作目标进行带教培养。（非本市户籍的应届大学生成功入职后，可提供员工宿舍）岗位职责：1、协助店长负责铺基础运营工作，提高店铺点击率和浏览量，完成店铺的销售目标；2、负责店铺活动提报、资源位争取及相应的执行跟进工作；3、负责与公司内外部对接沟通，进行相关资料图片整理和审核；4、对店铺销售情况进行评估，对店铺及产品访问量、转化率数据进行分析并做好竞争对手网站的数据的采集、评估与分析；5、对店铺的IP、PV、销量、跳出率、地域分布、转化率等做出专业的数据分析，及时对店铺运营进行改进；6、协助运营负责店铺推广，提高店铺点击率和浏览量，完成店铺销售目标。任职要求：1、本科及以上学历，专业不限，对电子商务有热情，有相关实习工作经验优先；2、能够熟练使用OFFICE办公软件，会简单的PS修图操作；3、思路清晰，性格开朗，具有良好的沟通技巧和语言表达能力；；4、工作责任心及主动性强，具备团队协作精神，能承受工作压力，有学习进取创新精神。</t>
  </si>
  <si>
    <t>电子商务</t>
  </si>
  <si>
    <t>上海立峰汽车传动件股份有限公司</t>
  </si>
  <si>
    <t>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ISO14001体系认证，齐全的高精微米级机加工检测设备和完善的质量管理体系使得产品更加可靠。我们诚挚邀请您加入我们，扬帆起航，共同发展。</t>
  </si>
  <si>
    <t>质量工程师</t>
  </si>
  <si>
    <t>1、根据产品规范要求,策划实施产品审核2、根据控制计划及交付计划要求，跟踪组织分拣活动。3、根据不合格品处理程序，组织不合格品评审，编制及实施不合格改善计划。4、根据内外部产品表现，识别质量改进机会，策划，实施并跟踪相关改进方案或项目5、负责接收客户质量信息及客户抱怨，完成8D等方式的客户回复，跟踪并验证、关闭所实施的质量改善活动。组织协调质量退货的处理工作。6、根据产品质量动态，进行日常不合格品统计分析，报告，反映质量趋势7、根据过程能力状态，进行过程监控，分析过程变差并提出相应的改进措施8、根据过程作业标准化进程，推进SOP过程操作标准化及管理流程标准化工作9、根据供应商质量要求，协助实施进货质量检验10、根据产品开发进度计划，参与新产品APQP活动，收集和提交PPAP文件，编制控制计划、检验表单等相关质量控制文件，开发过程中与客户对标零件的检测细节、封样件的确认。11、负责策划产品的检验方案，进行量具的MSA分析研究。管理产品的量检具申购、日常使用的维护，跟踪量检具年度外检的实施。12、跟踪原材料棒材的化学成分及机械性能报告，适时组织第三方检测。13、对于产品相关的个别外部协作的工序进行跟踪，对供应商进行年度审核和日常产品质量管理。14.完成领导交付的其它任务。教育背景：大学本科及以上，机械，材料，质量管理等相关专业。</t>
  </si>
  <si>
    <t>餐饮店长助理</t>
  </si>
  <si>
    <t>岗位职责：1.负责公司商务接待、宴请事宜的跟进与服务；2.针对于贵宾级别接待信息后，根据接待负责人指示接待分工；3.宴请依据客人的口味，偏好，忌口等准备餐食、酒水。4.接待现场的服务，谦德小院介绍，接待全流程跟进服务。任职要求：1、形象好、气质佳；2、酒店管理相关专业优先，有相关工作经验者优先；3、良好的沟通能力、服务意识及团队合作精神；4、普通话流利，能配合加班;5、提供工作餐，月休4天，晋升空间大。</t>
  </si>
  <si>
    <t>电商类</t>
  </si>
  <si>
    <t>培养方向：运营专员、主播、客服专员、跨境电商专员岗位要求：①2026届毕业生，大专及以上学历；②电子商务、国际贸易、英语等专业优先；③了解电商行业特质，熟悉电商平台的运营状况；④热爱电商工作，对运营、客服、网络直播有浓厚兴趣；⑤有社团、社会实践经验者优先。</t>
  </si>
  <si>
    <t>上海麦牙科技有限公司</t>
  </si>
  <si>
    <t>上海麦牙科技有限公司成立于2021年10月09日，注册地位于上海市闵行区银都路4277号3幢1层、2层、3层，法定代表人为郑燕芳。经营范围包括一般项目：技术服务、技术开发、技术咨询、技术交流、技术转让、技术推广；智能机器人的研发；工业机器人制造；工业自动控制系统装置制造；数控机床制造；数控机床销售；智能基础制造装备制造；物料搬运装备制造；智能仓储装备销售；电子专用设备制造；第一类医疗器械生产；专业设计服务；计算机系统服务；计算机软硬件及辅助设备零售；机械设备销售；电子专用设备销售；电子元器件零售；光电子器件制造；光电子器件销售；第一类医疗器械销售；第二类医疗器械销售。（除依法须经批准的项目外，凭营业执照依法自主开展经营活动）许可项目：货物进出口；技术进出口；第二类医疗器械生产。（依法须经批准的项目，经相关部门批准后方可开展经营活动，具体经营项目以相关部门批准文件或许可证件为准）</t>
  </si>
  <si>
    <t>新媒体运营实习生</t>
  </si>
  <si>
    <t>岗位职责1.根据公司要求，完成用于各自媒体内容的创作，包括不仅限于抖音（主要）、小红书、大众点评、微博等2.持续迭代内容，结合自身理解，探索产品定位和用户需求作为切入3.输出高质量的短视频、图文内容并提升品牌与产品的声量岗位要求1.选题有趣富有创意，有短视频、图文笔记创造经验，各大社交平台深度用户尤其是抖音平台优先2.认真负责，积极主动，能够保质保量完成日常工作交付3.兴趣宽泛，熟悉全网热点、爆梗、对美妆、轻医疗有一定认知*温馨提示：此岗位需用于个人账号发布内容（主要以抖音平台为主）</t>
  </si>
  <si>
    <t>维保管理内勤</t>
  </si>
  <si>
    <t>职位描述：1、协助销售经理整理客户资料、确认签收等；2、协助销售经理制作标书、合同等；3、合同整理、各类数据统计等；4、相关协议、合同扫描存档工作等。任职资格：1、大专以上学历，能熟练使用办公软件；2、一年以上工作经验，有相关工作经验优先考虑；3、良好的人际交往及团队协作能力；</t>
  </si>
  <si>
    <t>调试员/检验员</t>
  </si>
  <si>
    <t>调试员岗位职责：1.负责产品功能调试；根据调试作业指导书要求完成变电/电力产品功能测试工作；2.负责非用户验收项目系统调试工作；根据调试作业指导书完成系统的调试工作，满足交付的需求。3.负责日常的5S工作。检验员岗位职责：1、按照检验指导书、图、工艺文件标准要求完成日常的检验工作；2、能准确的完成出厂试验报告上传工作；3、对过程及原材料发生的异常进行跟踪记录，对不合格品及时进行隔离、标识、登记异常处理数据，确保可追性。</t>
  </si>
  <si>
    <t>上海米锐可供应链有限公司</t>
  </si>
  <si>
    <t>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米锐可的英文Miracle意为“奇迹”，希望每一个员工都可以在人性化的环境里，创造出属于自己及公司的奇迹。公司始终坚守“思考、利人”的价值观；秉持“真诚，努力，团结”的经营理念；珍惜品牌声誉，倾听客户心声，始终致力于为客户提供专业而真诚的服务！</t>
  </si>
  <si>
    <t>海运单证员</t>
  </si>
  <si>
    <t>工作职责1.主要负责进出口货物的文件操作，包括委托订舱/拖车/仓储/报关/保险等；2.配合销售与客户保持良好的关系，处理客户交付的一切事宜；3.与供应商维持良好的沟通和联系，及时有效地处理各类问题；4.密切配合公司销售/商务/财务等部门，提升团队服务质量。岗位要求1）物流、外贸、英语、法语等相关专业；2）大专以上学历，英语水平良好，熟练使用办公软件，懂法语的优先考虑；3）工作认真、细致周到、思路清晰；4）必须具有强烈的责任心，遇事不推诿，勇于担当；具备团队价值观念。工作时间9:00~17:30</t>
  </si>
  <si>
    <t>设备操作员</t>
  </si>
  <si>
    <t>1、职位概述（JobSummary）按SOP操作，完成每日所属机台的质量、产量任务、并保证安全生产。2、职责（Responsibilities）2.1执行工艺卫生制度，按规定完成负责区域及机台的5S工作。2.2执行工艺操作规范，服从监理安排，完成本岗位操作程序。2.3参加良率提高行动，以杜绝个人操作失误为己任。2.4执行工艺控制要求，及时完成各项QC项目。2.5执行质量控制要求的各项品质检查工作，正确处理设备及硅片异常状况下本岗位职责。2.6遵守公司和净化间的管理规定。3、任职资格（Qualifications）3.1教育背景（Education）中专及以上毕业，半导体、微电子或半导体相关专业；高中、职校毕业，有半导体或电子类企业工作经验者也可应聘。3.2工作经验（Workexperience）应届毕业生，有半导体或电子类企业工作经验者优先。3.3知识和技能（KnowledgeandSkills）需具备基础英语认知能力，会使用MSEXCEL和WORD。3.4其他（Others）身高1.55及以上，双眼矫正视力1.0及以上，无色盲；愿意从事轮班工作。</t>
  </si>
  <si>
    <t>蔚来顾问</t>
  </si>
  <si>
    <t>职位描述1、准确地向用户传递并耐心讲解蔚来品牌与产品，并传递蔚来价值观；2、为用户提供全面的试驾服务体验，并不断增强现有用户品牌忠诚度；3、根据销售策略和团队目标，制定团队工作计划和目标分配，完成销售并向客户交付车辆；4、开展营销活动，不断创新、积极主动地吸引潜在用户；5、支持公司新店的开设，确保公司文化和价值观在新团队传承；6、承担内部培训师的角色，并根据业务发展需要，完成团队指定的其他工作。职位要求1、大专及以上学历；2、对销售数据敏感，优秀的数据分析能力和逻辑分析能力;3、优秀的沟通能力和谈判能力，良好的自我管理能力及自我学习能力；4、抗压能力强，能够应在高速发展的环境中开展销售管理工作，达到公司业结指标要求；5、认可蔚来汽车的创业公司文化，具备创业公司必要的心理素质；6、C1及以上驾照，驾驶技术熟练；7、本岗位将邀请您提前参与带薪实习体验，快人一步，融入NIO！</t>
  </si>
  <si>
    <t>月薪：12K-13K</t>
  </si>
  <si>
    <t>海外客服助理</t>
  </si>
  <si>
    <t>岗位职责:维护现有海外代理业务及合作关系，海外业务的报价以及客户维护工作；负责FOB国内客户联系以及后续事宜协调与操作，市场和财务的日常工作和沟通所辖业务应收账款的管理，严格控制应收款，及时回款岗位要求:有1年货代经验须具备熟练的英文阅读书写能力,能够使用英语与海外代理沟通责任心强，诚信、处理任何事务时认真细心有良好的服务意识，语言表达能力强，擅于沟通</t>
  </si>
  <si>
    <t>上汽大众汽车有限公司宁波分公司</t>
  </si>
  <si>
    <t>上汽大众汽车有限公司（简称“上汽大众”）是一家中德合资企业，由上汽集团和大众汽车集团合资经营。公司于1984年10月签约奠基，是国内历史悠久的汽车合资企业之一。公司总部位于上海安亭，并先后在南京、仪征、乌鲁木齐、宁波、长沙等地建立了生产基地。</t>
  </si>
  <si>
    <t>汽车生产装配管培生</t>
  </si>
  <si>
    <t>一、岗位情况1、岗位名称：冲压工、点焊工、喷漆工、装配工、检验员。2、岗位的性质：了解和熟悉汽车线束电路组成和构建，汽车各零件的装配及调试。3、工作的内容A、(操作员岗位职责）:-（1）熟悉车辆线束的种类、布局；（2）负责汽车零部件的组装和调试；（3）白车身白车身的焊接加工以及测试、保养、维护（4）负责协助上级完成工作计划；四、薪资体系二、薪资体系1、上班时间：上六休一，每天工作8-9小时（不定期加班1-2小时），中午约一个小时左右吃饭时间。2、薪资结构：基本工资+加班工资+吃住补贴。3、免费提供住宿、工作餐、免费提供床上用品生活用品（满三个月报销车费），有空调洗衣机热水网络。4、薪资：实习生工资按实际出勤时长发放工资，综合薪资3500-5500左右，加班越多工资越高，交商业保险。三、福利待遇1、福利：实习结束后，公司安排统一转正，并购买六险一金。2、住宿：提供6-8人/间标准宿舍，宿舍配备有空调、热水器、WiFi、独立卫生间等。3、过年过节会发放礼品、定期组建团建户外活动！4、转正后内部员工享受大众旗下品牌汽车购车优惠！5、有年终奖、生日费、过节费、季度福利、定期培训等。6、业余活动：公司的一切文体设施对所有员工免费开放，如篮球场、员工阅览中心等；篮球协会、钓鱼协会、羽毛球等共计28种协会。</t>
  </si>
  <si>
    <t>日薪：150-300/天</t>
  </si>
  <si>
    <t>人事</t>
  </si>
  <si>
    <t>人事相关工作：1、2025届毕业生；2、人力资源、心理学、工商管理劳动保障等相关专业；3、专业成绩优异；4、诚实守信，有上进心，较好的表达沟通能力。</t>
  </si>
  <si>
    <t>财务</t>
  </si>
  <si>
    <t>职位描述：1、财务核算工作，根据公司各项财务规章制度进行财务核算工作，确保财务数据的及时性、合规性、真实性、准确性；2、在财务骨干的带教下在财务各岗位间进行轮岗，系统学习专业知识并培养多种能力，积累实战经验；3、财务资料管理，协助公司对财务文件及资料进行保存和管理；4、公司财务任务及活动的配合执行与实施，高效的完成领导交办的工作任务。任职条件：1、学历要求：24届、25届应届毕业生大学本科及以上学历，会计、经济、金融等相关专业；2、专业知识技能：具备财务会计知识，熟练掌握office办公软件使用，了解基本的国家财税法律法规、企业财务制度及流程；3、能力素质：较强的沟通能力、协调能力和学习能力，能够承受一定的工作压力。</t>
  </si>
  <si>
    <t>研发类：电气、软件、算法、硬件、机械</t>
  </si>
  <si>
    <t>招聘人数：若干职位描述：从事电气工程师、机械工程师、测试工程师、工艺工程师等岗位工作。任职要求：1、2024届、2025届本科、硕士毕业生；2、专业：电气工程及其自动化、电气工程、机械设计及其自动化、机械工程等专业；3、专业技能：熟悉常用二维及三维制图软件的使用（CAD、Soildworks等）；4、诚实守信，有上进心，较好的表达沟通能力。</t>
  </si>
  <si>
    <t>上海蔚来汽车有限公司</t>
  </si>
  <si>
    <t>蔚来是一家全球化的智能电动汽车公司，于2014年11月25日正式成立。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2015年，蔚来车队获得国际汽联电动方程式锦标赛历史上首个车手总冠军；2016年，蔚来发布全球最快电动汽车之一涸EP9；2017年，蔚来发布概念车EVE；2018年6月28日，蔚来正式向用户交付智能电动旗舰SUV蔚来ES8；2018年9月12日，蔚来在纽约证券交易所上市；2022年3月10日，蔚来正式在香港交易所挂牌交易；2022年5月20日，蔚来正式在新加坡挂牌交易；蔚来旗下在售车型包括2022款智能电动旗舰SUV&amp;4款智能电动全能SUVES6、2022款智能电动轿跑SUV&amp;智能电动旗舰轿车ET7、智能电动轿跑ET5，以及6月全球首发的智能电动中大型SUVES7。</t>
  </si>
  <si>
    <t>校招-工程师，电子硬件开发（硬件集成开发）</t>
  </si>
  <si>
    <t>工作内容1参与车载大功率电机控制器的硬件设计；2.参与各种功率等级电源的硬件调试；3.参与电子器件评估、功能电路设计调试、磁性器件的设计与仿真；4负责功率电子产品的测试与调试；5.负责技术文件归档、BOM制作、技术问题的调查与解决；任职要求1.研究生以上学历，电子类、电力电子、自动控制、电气自动化专业；2.有扎实的电力电子基础，熟悉常用电源拓扑电路和电驱动逆变器拓扑；3.动手能力强，熟悉电子测试仪器.示波器、信号发生器、万用表、电子负载等；4.积极主动，乐于团队合作，善于分析解决问题；5敢于承担任务，具有奋斗精神。</t>
  </si>
  <si>
    <t>校招-工程师，电子硬件开发（电源开发）</t>
  </si>
  <si>
    <t>工作内容1.负责车载电力电子功率变换产品的硬件开发设计工作，例如OBC,800/12，400/12，800/48，48/12，EFUSE等各种电压平台的功率变换和保护产品2.在项目中完成硬件相关交付物，同时保证开发节点匹配项目计划，例如硬件架构，各电路功能模块的详细设计，WCA分析，寿命可靠性分析，硬件相关功能安全目标的落地，电路调试，debug等测试验证工作3.与相关部门（机械设计，软件，测试，CE，质量与工厂）以及供应商紧密协作，以满足项目要求任职要求1.硕士及以上学历，电子技术/电气工程/电力电子与电力传动等相关方向2.熟悉常用的电路仿真软件，比如LTSPICE等3.熟悉常用的开发调试工具设备，比如示波器，电子源载等3.团队协调沟通能力强，乐于钻研技术，能适应快节奏开发环境，乐于接受学习新技术，乐于接受有挑战性的任务</t>
  </si>
  <si>
    <t>校招-工程师，电子硬件开发（硬件平台开发）</t>
  </si>
  <si>
    <t>工作内容1.负责电力电子变换器/电机控制器的硬件开发工作；2.负责硬件电路模块的设计，包括功率模块(IGBT/SiC)驱动电路详细设计，驱动电源（flyback/LLC等）的详细设计，以及其他硬件电路模块的详细设计等；3.负责功率模块（IGBT/SiC)的选型评估，结合仿真及测试结果给出功率模块的能力边界；4.负责硬件电路模块的最坏情况分析（WCCA)，基于分析结果给出结论性判断，如不满足要求，需提出改善方案或给出风险评估；5.负责组织与供应商的技术交流，如芯片问题调查的讨论，前瞻技术的讨论等；6.负责硬件电路模块的问题调查，或支持项目完成相关硬件问题调查，对于重大问题需提供8D分析报告；7.项目中对硬件详细设计方案负责，以满足成本，性能以及可靠性等指标任职要求1.研究生学历，电子技术/电气工程/电力电子与电力传动/电机与电器等相关方向；2.熟悉电力电子相关设计开发工作，如功率模块（IGBT/SiC)的选型评估，驱动电路的选型设计,驱动电源的设计等；3.具有电力电子的仿真分析能力，熟悉Mathcad、LTspice、Pspice的分析工具，有Worsecasecircuitanalysis(WCCA)经验者优先；4.有电机控制器硬件开发经验者优先；5.有汽车电子产品开发经验优先；6.工作积极主动、执行力强，能适应快节奏开发环境</t>
  </si>
  <si>
    <t>校招-工程师，机械工程（高压线束连接器开发）</t>
  </si>
  <si>
    <t>工作内容1.负责高压线束接插件的设计开发和验证工作2.负责高压接插件方案设计和仿真分析，包括公差分析3.负责高压线束接插件图纸和相关开发标准的编制工作4.负责高压线束的装车支持及其相关工程问题的解决工作5.负责高压线束接插件项目阀点文件的交付，配合项目完成其他相关项目工程需求任职要求1.研究生学历，机械工程&amp;机械电子&amp;车辆工程&amp;自动化相关专业2.熟悉汽车连接器国内外标准/掌握CATIA/UG相关软件3.各类材料的加工方法/工艺.材料性能.连接器设计和制造技术.塑件的结构设计4.具备良好的沟通和协调能力5.富有团队合作精神6.良好的英文听说和读写能力</t>
  </si>
  <si>
    <t>校招-工程师，功率模块智能仿真</t>
  </si>
  <si>
    <t>工作内容1、负责SiC功率模块的热仿真（温度场、流阻）、busbar的温度仿真等；2、负责与电路仿真工程师协同优化layout，与结构工程师联合进行材料选型、散热器设计和优化；3、负责SiC功率模块工艺过程、可靠性测试以及模块安装过程中的应力仿真，包括翘曲、热应力、疲劳等，优化材料选型、结构设计和工艺开发等；4、负责研究AI在功率模块仿真中的应用，包括建立芯片模型、快速可靠性评估等；5、负责研究运用AI的方式加速热仿真和应力仿真，基于实际的Missionprofile评估模块寿命；6、建立材料数据库，定义规范的仿真流程。任职要求1、硕士及以上学历，电子封装、微电子、机械工程、力学、工程热物理等相关专业；2、熟悉传热学、流体力学、材料力学理论力学等经典力学和热学理论；3、了解功率模块封装结构、材料和工艺；4、了解功率模块热测试和可靠性测试的相关标准和方法，熟悉mentor功率循环测试设备有线；5、了解机器学习、深度学习和相应的算法知识；6、精通热仿真软件和力学仿真软件，如AnsysIcepak，Ansysmechanical,fluent，Flotherm，ABAQUS等。</t>
  </si>
  <si>
    <t>校招-工程师，性能开发（电机结构开发）</t>
  </si>
  <si>
    <t>工作内容•熟悉电机原理和结构，了解电机制造装配工艺。•掌握结构强度力学和疲劳分析和FEA仿真用于电机及零部件结构设计和分析•负责产品的零件设计，零部件的详细设计(2D/3D)、公差分析、DFMEA、材料选型，结构校核、样件控制计划，新产品的组装测试和验证；负责产品的BOM、相关图纸、产品技术标准、等技术文件的编制和输出；•负责产品生命周期内的电机结构、工艺设计及问题改善；•负责电机结构方向的技术预研，技术专题研究，技术难题攻关。任职要求•电机、机电一体化等相关专业硕士以上学历。•熟悉电机工作原理和结构。•熟练运用AutoCAD、Cardia，Ansys软件及Office办公软件。•英文6级，•积极乐观，学习及动手能力强。有成功机电项目经验优先。</t>
  </si>
  <si>
    <t>校招-工程师，性能开发（电磁开发）</t>
  </si>
  <si>
    <t>工作内容1.负责驱动电机(永磁同步电机、感应电机)电磁方案仿真工作；2.负责制定电机性能测试规范，并参与性能测试工作中，分析设计与实测数据，并优化设计方案和释放性能数据；3.负责完成所负责项目开发过程中的设计文件、测试报告和设计规范等；4.负责电机多目标设计优化程序开发，对电机方案设计输入、设计与仿真建模、数据处理等工作进行工具链化及标准化；5.支持电机开发过程中NVH、结构、热相关对电磁仿真数据的需求；任职要求1.电气工程、电机与电器、自动化、机械专业毕业，硕士毕业；2.熟练使用Jmag,AnsysMaxwell或Magnet等至少一种有限元软件；熟悉MotorCAD仿真软件的使用；3.熟悉Matlab软件编程或Python编程，具有一定的仿真软件工具链二次开发能力；4.电机电磁设计及驱动设计背景，充分了解电机中的稳态和瞬态电磁场；熟悉电机的dq0变换，电力电子逆变器，变送器和三相可控整流器；5.具备扎实的电机电磁场理论、电机控制、电力电子基础，熟悉常用的电机设计，有较强的分析能力。</t>
  </si>
  <si>
    <t>校招-工程师，数字化产品运营</t>
  </si>
  <si>
    <t>工作内容1.负责数字化业务流程的运营，包括业务状态统计，问题跟进，数据分析，形成状态信息并向组织内相关方进行通报2.根据运营状态分析，结合用户及业务发展需求，提出相关业务流程及系统优化点，撰写需求方案书，并组织相关方进行实施落地3.支持数字化工具迭代后的测试和应用推广工作，利用数字化工具助力工程师将日常低效业务提效4.组织并复盘运营问题，交付基于用户场景的Process、Storyboard、Method、Tips等文档任职要求1.本科及以上学历，熟悉数字化产品开发过程、IT技术者优先考虑2.有自媒体等其他平台运营经验者优先3.认真负责，细心谨慎，具有团队协作精神及较强的自驱力，有一定的抗压能力4.拥有较好的沟通技巧和协调能力,业务理解及转换能力</t>
  </si>
  <si>
    <t>校招-电芯仿真工程师</t>
  </si>
  <si>
    <t>工作内容职责描述：1.负责电芯电化学建模仿真，并通过仿真分析电池电化学性能、热力学性能、动力学性能、安全性能及寿命可靠性等，优化电池设计策略及应用策略。2.根据项目节点，配合电芯开发团队和材料开发团队（负极，正极，电解液，高分子）进行电芯设计优化、配方改善、材料甄别等。3.负责校企合作，与国际，国内高校，科研所，进行深度科研合作，产学研合作。4.负责与仿真工具供应商对接，收集需求，按项目节点收发交付物。5.负责前沿仿真技术跟踪等。6.负责日常技术工作，包括文献资料查阅，会议资料，技术资料的整理归档。任职要求职位要求1.了解电化学建模仿真技术，了解电芯结构与电池反应机理（包括但不限于：电池结构、电极反应过程、插层反应、电极-液相电解质界面交互、扩散输运等）2.了解电池老化建模技术，电池退化机理，失效原理和建模方法。3.了解电池热安全建模技术，电池链式热反应机理，热滥用建模原理和建模方法。任职要求：1.学历：硕士及以上（博士优先，电芯电化学仿真方向）2.工作经验：锂电行业经验背景优先。3.,电化学，物理，化学，材料工程相关专业，具有电芯电化学仿真开发经验优先。4.具备较强的材料，电化学，数学建模，编程相关专业知识。5.精通至少一款CAE软件及一款CAD软件（Comsol，Ansys，Fluent，Starccm+，BDS，Python，Matlab，Abaqus、LS-DYNA，AMEsim，Solidworks，Catia，UG等）。</t>
  </si>
  <si>
    <t>校招-锂电设备开发工程师</t>
  </si>
  <si>
    <t>工作内容1.负责锂电池及pack设备及其相关新技术开发任务，参与供应商技术交流，并完成设备技术方案及技术协议制定；2.跟进设备安装调试，并解决设备使用中的问题；3.不断跟踪行业设备技术发展方向、并进行新技术的研究及应用、专利的撰写及提交；4.编制设备及工装的相关技术文件等；5.完成部门其他相关工作任务。任职要求1.硕士研究生及以上学历，CET-6级，机械、电气、自动化等相关专业；2.具备良好的团队意识与沟通能力，工作积极主动，有较强的责任心和职业素养；3.具有较强的分析能力和创新意识、善于发现问题，并提出可行性解决方案；4.熟练应用二维、三维设计软件。</t>
  </si>
  <si>
    <t>校招-产品设计工程师</t>
  </si>
  <si>
    <t>工作内容1.根据市场需求，技术发展趋势等预测产品需求，制定自研产品开发目标及战略规划；2.产品需求对接，确定电芯指标边界及合理性，明确电芯需求；3.完成项目电芯产品各部件SOR分解，完成产品性能、安全、成本、碳排放等产品技术指标；4.组织项目组成员制定产品的概念设计及迭代方案；根据项目阶段性要求，评审各职能团队技术指标达成情况，针对gap项分配责任人；5.跟踪并监督产品开发过程中发生的问题，推动产品问题的解决和落地；组织各模块完成产品的B-,P-图和FMEA；拉通工业化团队，输出工业化需求的设计信息，保证产品工业化落地；6.拉通平台组，结合产品的技术路线及材料的技术路线，输出产品平台体系要求，推动体系平台按照项目节点完成平台开发工作；对现有平台体系提出改进方案及意见，确保满足产品开发SOR；7.整合平台输出方案到产品试制中，平台整合开发计划、验证、结果及时与项目经理进行沟通；整合结构件输出方案产品试制中，推动结构件在产品开发中落地；整合内外部输入的项目新技术到产品开发验证中；8.结合项目产品、材料、结构、工艺、制造、测试等环节，开发衍生相关新技术；9.新技术专利布局；任职要求1.博士学历，电化学、化学、材料学相关专业；2.熟悉锂离子电池工作原理，以及相关电化学知识；了解电池测试方法，理化测试方法，以及基本的电化学测试方法；了解对锂离子电池常用材料及特性；3.学习能力强，责任心强，工作踏实，性格开朗，有较强的沟通和协作能力。</t>
  </si>
  <si>
    <t>校招-锂电池电极结构设计工程师</t>
  </si>
  <si>
    <t>工作内容1.负责锂电池正负极箔材开发，包括但不限于构效关系识别，新型箔材开发（复合箔材、热机械响应箔材），电池失效中所有与箔材关联部分的分析，及与新箔材匹配的工艺开发etc.2.参与产品中电极结构设计，包括但不限于配方优化设计，电子传导通路设计，离子传导通路设计，机械约束网络设计，电芯产品性能参数预判etc.3.参与产品中电极结构制造缺陷问题（如：极片开裂，膜片脱落等）分析&amp;解决4.参与电极内离子输运，电子输运，机械约束机理探究5.参与创新电极结构的设计&amp;制造工艺探索6.参与电极结构设计仿真模型搭建&amp;完善任职要求1.学历：硕士及以上，优先博士；2.经历：有金属材料的研究经验，优先有先进铝箔&amp;铜箔研究经验；优先具备锂离子电池的基本设计能力3.专业：电化学、材料学、物理、化学、机械等理工科专业背景优先；4.优先参与过产品或技术开发流程，具有较强的团队合作精神，善于发现问题并可以通过逻辑思维进行问题的改进；5.具有较好的英文听说读写能力，有日语、韩语等其他语种能力亦可。</t>
  </si>
  <si>
    <t>校招-工艺开发工程师</t>
  </si>
  <si>
    <t>工作内容1、工艺技术开发，探索锂电前沿工艺，从工艺可行性分析和仿真机理分析角度开发新技术，以高创新高效率的方式服务产品落地；2、电池工艺设计，承接产品设计部门的技术指标，识别过程技术指标并策划DOE开展实验验证；3、过程工艺改善，现场跟进产品的生产过程，识别过程异常并分析异常原因，提出改善措施，完成闭环控制，编制文件并规范化。4、装配公差分析，能够自主分析产品的结构公差分析，了解过程的公差设计及失效模任职要求1.学历：硕士及以上；2.经历：有机械设计or仿真设计的研究经验，具备锂离子电池的基本设计能力。3.专业：机械、仿真、电化学、材料学、物理、化学等理工科专业背景优先；4.优先参与过产品或技术开发流程，具有较强的团队合作精神，善于发现问题并可以通过逻辑思维进行问题的改进；5.具有较好的英文听说读写能力，有日语、韩语等其他语种能力亦可。</t>
  </si>
  <si>
    <t>校招-电池系统集成测试工程师</t>
  </si>
  <si>
    <t>工作内容-开展电池包系统、子系统、零部件、材料等各个层级的机械、电气、热以及安全相关的测试和测试评价-开发测试规范来定义测试环境、工装夹具以及相关的测试仪器，并具有工装夹具以及测试设备的设计能力-负责测试流程、测试进度管理，并利用JIRA系统完成测试问题反馈和跟踪-确保测试数据质量，并完成测试数据分析和测试报告生成-协调外部测试设备资源和供应商资源，确保测试项目按照节点完成-支持FMEA和CAE分析相关工作支持从先期开发到量产节点的失效分析工作和测试评价任职要求-机械或工业技术相关专业，硕士及以上学历-具备汽车行业或者电池行业相关的工作经历-有丰富的机械测试知识（紧固件、焊接件、振动、冲击等）和材料相关的测试知识（拉伸强度、屈服强度、延展性等），对测试设备也比较了解，其它方面的如电气、EMC、Thermal相关的测试经验优先考虑-在夹具设计、制造方法等方面有丰富的经验-熟悉DFSS或者DRM工具（如FMEA，5Why，8-D，DRBTR等）-有很强的沟通、协调能力和自驱力，有整车或整包项目团队环境的工作经验优先考虑</t>
  </si>
  <si>
    <t>校招-电池系统工艺开发工程师</t>
  </si>
  <si>
    <t>工作内容研发项目阶段电池系统产品的工艺开发-研发阶段电池包系统设计方案评审、零部件设计评审-规划电池包系统设计的工艺方案；完成各个研发阶段产品的可制造性评审-规划样件试制所需的资源需求；主导需求实现（与组织内各职能小组合作-工装设备工艺需求SOR，等）-研发项目阶段各节点工艺开发技术状态汇报-研发项目阶段工艺文档编写试制工程技术开发、验证与实现-零部件属性适配工艺方案的可行性分析与实现（工艺验证方案开发、验证计划与验证实施）-具体的工艺方案开发（产品设计指标的符合性开发-测试方法、验证方案、工艺规格书等）-创新工艺技术的开发（对标行业技术、产品和趋势；基于产业化收益和设计属性收益）-技术文档编写任职要求-材料成型、机械、电气等专业研究生；-较强的逻辑思考能力、系统性分析能力；能设立挑战性目标；具有创新能力；目标导向-具备支持工作职责的办公软件、机械制图建模等软件的使用技能</t>
  </si>
  <si>
    <t>校招-产品质量工程师</t>
  </si>
  <si>
    <t>工作内容-负责在电池包/电芯新项目启动时制定项目研发质量目标制定，并推进质量目标达成；-负责在研项目问题管理，并牵头问题PDCA闭环，-负责在研发项目中牵头进行DFMEA等研发相关质量活动落地;-负责市场及售后L&amp;L在研发项目中的应用和闭环;-支持研发项目的数据管理和变更管理;任职要求学历：本科及以上（硕士优先）工作经验：有相关制造业工作/实习经验，熟悉质量管理相关工作或有较强的意愿；电化学，物理，化学，材料工程，数理/统计学等相关专业；具备较强的沟通表达能力、组织协调能力、逻辑思维、学习能力；精通Python，SQL等更佳。</t>
  </si>
  <si>
    <t>校招-研发质量体系工程师</t>
  </si>
  <si>
    <t>工作内容1.负责电池系统部门流程体系的策划与搭建，监控流程的执行情况。2.负责与整车项目管理对接，梳理明确电池开发流程与整车的交互关系，新产品开发流程的建立与优化，包括流程需求的收集，分解，规划，编写，推动。在变革项目、流程项目及日常运作中深入一线业务，归纳总结业务流程问题，从流程角度制定解决方案，推动流程、业务规则的标准化并持续改进。特定流程的专项调查，解决，支持等活动。支持BMS软件及大数据开发流程的维护优化。3.负责与电源管理部门对接，梳理明确换点相关业务流程的交互关系及系统打通，并持续优化，保障相关人员理解业务流程规则、系统运作规则。任职要求学历：硕士及以上，优秀的本科可考虑。专业：车辆工程、机械，质量管理、电化学，材料工程相关专业，具有电池或整车企业实习经验优先。积极认真，具有较强的系统性思维，良好的跨组织沟通协调能力。熟悉Word/PPT/Excel办公软件，具有Visio软件和CAD软件能力优先。熟练的英语听说读写能力，CET-6。</t>
  </si>
  <si>
    <t>校招-Block工程师</t>
  </si>
  <si>
    <t>工作内容1、按照项目需求和计划完成电池包注塑件的结构设计、开发;2、熟悉高分子改性材料的加工工艺、产品特性，参与材料认证及新材料开发；3、按照项目需求和计划完成电池包胶类材料的开发和应用，包括结构胶，灌封胶，导热胶等4、针对项目需求，与合作伙伴合作定制开发电池包内用胶，根据实际应用工况，给出设计和优化方案；5、具备注塑件模具设计能力，支持合作伙伴完成注塑模开发，负责开模前评估,试模检讨以及试产\模具验收，负责供应商技术能力评估，结构件工程估价成本核算6、负责产品图、爆炸图、过程装配图纸等制作,配合知识产权等相关部门的工作;7、完成技术规格书、设计图档、测试报告等项目相关技术文件资料编制;任职要求1、高分子专业硕士学历，熟悉胶水配方开发和应用/材料成型及模具设计等相关专业，具备注塑件工艺基础知识2、有工程制图基础，熟练3D/2D设计软件者优先；3、较强的逻辑思考能力、系统性分析能力；能设立挑战性目标；具有创新能力；目标导向</t>
  </si>
  <si>
    <t>校招-热管理工程师</t>
  </si>
  <si>
    <t>工作内容1.负责电池热管理零部件（冷板、冷管、阀，保温材料，导热胶）的开发设计；2.负责热管理零部件的SOR（技术要求）的编制及外发，3D建模及工程出图；3.负责电池热管理系统质量目标、成本目标和技术降本工作；4.负责编制完成DFMEA、YCYS支持项目节点评审；5.负责电池热管理系统各个零部件BOM、成本编制；6.负责电池热管理系统及零件专利点的识别及撰写工作；7.负责电池热管理零部件设计开发、可靠性验证及问题解决；8.负责电池热管理零部件供应商的开发、对接及管控工作；9.协助热属性设定电池热管理策略、热管理性能目标值；任职要求硕士以上学历,机械及动力工程等相关专业，有一定的流体力学理论学习基础；有工程制图基础，熟练3D/2D设计软件；积极进取，学习能力强；具有团队意识，良好的沟通协作能力；</t>
  </si>
  <si>
    <t>校招-电气工程师</t>
  </si>
  <si>
    <t>工作内容1.负责电池PACK电气件的3D设计、2D工程制图、SOR、DVP、YCYS、DFMEA等文件的编制，DFM评估，以及所设计零件的工程估价。电气件涉及种类包含EDM（含保险丝、继电器等器件），线束，FPC，铜铝巴等；2.协助设计电池PACK高压架构，协助完成电气原理图，选型匹配报告等文件的编制；3.了解新能源车载电气件的使用要求，熟悉继电器、保险丝等器件的工作原理和物理特性，对铜铝材料的物性参数有一定的了解；4.对冲压件、注塑件、机加工件、复合材料件的设计以及制造有一定的了解；5.能够接受紧急出差，试制跟产，产线装配支持等工作；6.能够完成领导安排的其他工作。任职要求硕士以上学历,机械及电子电气等相关专业；有一定的PCBA基础知识；有工程制图基础，熟练3D/2D设计软件；积极进取，学习能力强；具有团队意识，良好的沟通协作能力；</t>
  </si>
  <si>
    <t>校招-机械结构工程师</t>
  </si>
  <si>
    <t>工作内容：（1）负责电池PACK机械结构件的3D设计、2D工程制图、SOR、DVP、YCYS、DFMEA等文件的编制，DFM评估，紧固件选用以及所设计零件的工程估价工作。结构件涉及种类包含箱体，上盖，底护板，电气类零件的壳体，防爆阀等。（2）对压铸件、冲压件、注塑件、机加工件、复合材料件的设计以及制造有一定的了解。（3）能够接受紧急出差，试制跟产，产线装配支持等工作。（4）能够完成领导安排的其他工作。任职要求学历以及技能要求：（1）具有机械工程、车辆工程或其他机械类专业的硕士学位。（2）熟练使用3D建模软件（CATIA优先）、熟悉GD&amp;T与工程制图。（3）具有团队意识，基本的沟通协作能力。（4）对工作中遇到的新知识具有良好的学习意愿。</t>
  </si>
  <si>
    <t>校招-BMS测试工程师</t>
  </si>
  <si>
    <t>工作内容1.根据BMS功能需求文档设计测试规范，在电池Pack或者试验车上进行功能集成验证；2.基于法规和电芯特性、FMEA分析，完成DOE开发，实现对BMS核心算法，如SOC/SOF/SOH/Balancing/ThermalManagement的精度和可靠性的验证3.通过分析现场数据，找出软件实现的Bug或者功能需求的不合理性4.通过云端数据，深度挖掘和用户驾驶体验相关的极端工况，并生成工况数据，反复验证软件算法，实现数据闭环5.基于换电、BaaS等业务模式，分析用户使用场景，提前完成各个场景下的软件功能验证，确保提供极致的用户体验任职要求1.能熟练使用MATLAB/Simulink，具备INCA、CAN工具的使用基础;2.具备Python或C语言的编程基础;3.有汽车驾驶经验4.具有相关的电池管理系统开发经验，具备LFP/NCM等电池系统的开发经验者优先考虑5.对于CAN、Daisychain等总线技术有一定的了解，有相关的项目开发经验者优先考虑6.本科及以上学历，汽车或自动化、通讯、电子等相关专业</t>
  </si>
  <si>
    <t>工作内容1.根据系统需求文档设计测试，对BMS软件开展软件集成测试和系统集成测试;2.利用ECU-TEST,INCA,CANoe等工具完成自动化测试用例的开发;3.基于ETAS硬件在环仿真设备完成BMSHIL环境的配置和集成调试；4.基于Python、ECU-TEST、Excel等工具完成测试用例自动生成环境的开发和维护；任职要求1.能熟练使用MATLAB/Simulink，具备INCA、CAN工具的使用基础;2.具备Python或C语言的编程基础;3.对ETAS,dSPACE的HIL设备有一定的了解4.具有相关的电池管理系统开发经验，具备LFP/NCM等电池系统的开发经验者优先考虑5.对于CAN、Daisychain等总线技术有一定的了解，有相关的项目开发经验者优先考虑6.本科及以上学历，汽车或自动化、通讯、电子等相关专业</t>
  </si>
  <si>
    <t>校招-BMS硬件工程师</t>
  </si>
  <si>
    <t>工作内容1.基于硬件系统需求、HSIS，完成硬件需求开发，硬件架构设计和硬件设计规范开发；2.完成原理图设计开发、芯片选型和BOM制作，并基于成本模型，完成BOM优化；3.协调电池系统结构设计和电气设计部门完成BMS的尺寸匹配、电气连接、散热、EMC以及安规等设计方案的确认4.完成PCBLayout开发和审核，完成PCB的调试，完成BMS样件的DV和PV测试验证5.完成BMS硬件开发各个阶段输出物的提交，并完成DFMEA,FMEDA等文档的编制和交付6.负责硬件单元电路和模块功能的测试验证，利用示波器、温箱、电子负载以及电芯测试工装的设备，完成电路的信号测量和功能验证任职要求1.熟悉汽车级芯片的应用，掌握模拟电路及数字电路的分析与设计技能；可独立完成模块化硬件电路开发、理论计算、worstcase分析工作2.具有熟练的电路调试和测试能力，有一定的上下电时序、SI、EMC、纹波噪声、温升等测试能力3.熟悉电池管理系统的硬件结构，关键电路以及电气参数的理论计算和设计验证，有高压系统开发经验这优先考虑4.熟悉CAN总线，模拟前端电路，DCDC模块，熟悉主流的处理器芯片应用，如Infineon，NXP,Renesas，熟悉MOSFET,IGBT等高压功率器件工作原理5.至少熟悉一种电路设计分析软件，如CadenceAllegro，AltiumDesigner6.具有一定的Catia，AutoCAD等CAD/CAE工具使用经验，熟练应用示波器、信号发生器、温箱等工具7.硕士及以上学历，汽车或自动化、通讯、电子等相关专业</t>
  </si>
  <si>
    <t>校招-BMS底软开发工程师</t>
  </si>
  <si>
    <t>工作内容1.基于系统需求，完成基础软件需求分析，模块详细设计；2.基于详细设计，usermanual等，完成软件模块开发，调试和单元测试工作；3.软件平台的移值，匹配，软件集成等相关工作内容；4.测试及开发环境的相关脚本，集成环境的开发；5.基础软件相关的issue排查处理工作支持；6.基础软件供应商开发及管理工作。任职要求1.熟悉汽车级嵌入式处理器（Aurix，S32K，Renesas等主流芯片），了解其基本原理，具备驱动开发及问题排查能力2.具有熟练的Python和C编程基础，有QAC/Tessy/Lauterbach以及实时调试分析工具，如T1的使用经验;3.熟悉CAN总线协议，能使用CAN工具进行总线监控和数据分析4.熟悉UDS诊断协议，能够使用CANdela/CANdiva编制cdd以及UDS测试；5.对于AUTOSAR软件架构以及操作系统有丰富的经验，有操作系统移植经验者优先考虑6.具有一定的Git和Jenkins使用经验7.本科及以上学历，汽车或自动化、通讯、电子等相关专业</t>
  </si>
  <si>
    <t>校招-BMS算法开发工程师</t>
  </si>
  <si>
    <t>工作内容1.负责BMS软件需求与软件功能开发；2.负责BMS软件架构设计与功能安全软件开发3.负责BMS模块单元测试，参与完成HIL与整车测试；4.负责量产与样件开发过程中的问题排查与数据分析，并汇报解决方案5.负责支持开发过程中的整车/电池包/电芯级别的试验6.负责电池寿命/电池安全算法的开发，电池实验以及特征数据分析，并结合机理分析和数据特征，完成算法的开发任职要求1.硕士及以上学历，自动化，电化学，车辆，通信等相关专业；2.熟练掌握锂离子动力电池特性，熟悉电池相关核心算法（包括SOC，SOH，SOE，SOP等）；3.熟悉锂离子电池安全相关检测算法（包括析锂，内短路，自放电等）；4.熟悉BMS高低压控制模块优先（包括高压上下电，碰撞检测，绝缘检测等）；5.熟悉BMS系统架构，电池特性，性能参数，电性能试验，测试分析方法优先；6.熟悉MBD开发流程，熟练使用Matlab/Simulink建模和代码生成优先；7.熟悉C语言/M语言/Python语言等相关编程语言优先；8.英语6级，良好的英文阅读和算法创新能力；9.性格开朗，具备较强的逻辑表达，沟通协调能力，抗压能力强；</t>
  </si>
  <si>
    <t>校招-BMS系统开发工程师</t>
  </si>
  <si>
    <t>工作内容1.负责BMS功能开发，基于各个电池包项目的设计指标以及差异性分析，完成BMS功能定义和功能规范的编制2.负责BMS功能的落地执行，负责BMS需求分析，用户场景以及对应场景下的功能和性能需求，以及诊断需求的定义，并完成软件需求和测试用例的评审，确保功能需求正确执行3.负责BMS功能失效分析，主导完成DFMEA,FTA等可靠性设计文件开发评审，以及ISO26262功能安全开发文件的设计与评审（HARA,FSC,TSC,FMEDA，SafetyCase等）4.与整车部门和换电部门对接，完成整车FDS的分解和功能导入以及对换电功能的影响分析，完成FDS转化为BMS的功能需求6.负责技术指标以及系统交付物的确认，负责通讯矩阵，诊断调查表的开发以及负责在研项目整车节点开发需求与BMS功能需求的匹配和任务分解7.负责BMS零部件的项目开发管理，基于Pack项目开发计划，完成BMS零部件开发计划的管理和零部件层级的功能集成和功能验收任职要求1.硕士及以上学历，计算机/机械/电气工程/自动化等相关专业2.熟悉整车电子电气，或者汽车零部件相关的开发流程；3.熟悉BMS系统架构和功能列表，有BMS系统开发经验优先考虑；4.熟悉ASPICE,ISO26262开发流程5.熟悉12V电池系统，有小电池，E-Fuse开发经验者优先考虑6.会使用CAN，INCA等软件调试工具，会使用3D建模和2D结构设计工具7.会使用硬件电路相关的测试仪器仪表，有丰富的电路白盒调试经验和产品验证经验</t>
  </si>
  <si>
    <t>校招-金融sparks</t>
  </si>
  <si>
    <t>工作内容•管培生会有为期2年的轮岗安排，会视实际情况安排至战略规划、风控、产品与市场、运营部门轮岗，深入了解公司金融团队运作；•熟悉各岗位工作职责，善于发现问题，提出问题并解决问题，提高工作效率及输出结果。任职要求财务或金融类相关专业，本科及以上学历；•强逻辑思维、统计及分析能较强，对数据敏感；•做事严谨、踏实，具有良好的敬业精神、沟通能力和团队精神，有较强的上进心及学习欲望。</t>
  </si>
  <si>
    <t>校招-财务sparks</t>
  </si>
  <si>
    <t>工作内容•管培生会有为期2年的轮岗安排，会视实际情况安排至Accounting、FP&amp;A、FinanceBP等部门轮岗，深入了解公司财务运作；•熟悉各岗位工作职责，善于发现问题，提出问题并解决问题，提高工作效率及输出结果。任职要求•财务或金融类相关专业，本科及以上学历；•强逻辑思维、统计及分析能较强，对数据敏感；•做事严谨、踏实，具有良好的敬业精神、沟通能力和团队精神，有较强的上进心及学习欲望。</t>
  </si>
  <si>
    <t>校招-人力资源校招生-HR Sparks</t>
  </si>
  <si>
    <t>工作内容1.参与人力资源三支柱：COE,HRBP及EPC三大模块的人力资源相关工作；2.公司提供充分的轮岗机会&amp;培训资源，让各位管理培训生尽快学习、了解、熟悉、掌握人力资源各职能模块的工作内容；3.给予的人力资源项目任务，需配合完成实施跟进；4.经过一定时期的轮岗后，将定向培养长期发展方向。任职要求1.本科及以上学历，英文听说读写能力好者优先；2.有清晰的职业规划和职业发展目标，对于从事人力资源工作有饱满的热情；3.优秀的沟通能力，逻辑分析能力及解决问题能力；4.数据处理能力强，有很强的自我驱动力，有创新思维及判断力；5.能熟练运用Office等办公软件，轮岗&amp;定岗地点服从公司分配。</t>
  </si>
  <si>
    <t>电机工艺工程师（校招）</t>
  </si>
  <si>
    <t>1、负责电机工艺技术的相关工作，对设计图样进行工艺会签；2、确定工艺路线，编制相应的工艺文件，并对工装图纸进行会签；3、对新产品加工进行技术交底，并提供相应技术支持，解决新老产品加工过程中相关制造问题。任职要求专业要求：电气类（电气工程及其自动化/电机与电器）机械类（机械工程及其自动化）材料类（金属材料/材料成型及控制工程）热动类（低温制冷/通风冷却/流体机械）1、学历本科及以上；2、本科英语CET-4；研究生英语CET-6；口语良好；3、熟练操作计算机；4、有较强的承受压力的能力；较高的学习能力和适应能力；富有团队精神，有责任感；5、有学生干部工作经验优先。</t>
  </si>
  <si>
    <t>月薪：10K-13K</t>
  </si>
  <si>
    <t>工作职责：1、负责公司直播平台的出镜直播，内容策划，活跃直播气氛;2、负责在直播间与粉丝互动，增加粉丝的粘性以及粉丝量等;3、维护直播间秩序，活跃氛围直播期间思路清晰，快速反应解答粉丝的疑问并引导留资；4、负责公司新媒体账号的内容产出和运营。任职要求：1、有抖音、小红书拍摄直播经验优先;会拍摄、会剪辑视频优先；2、普通话标准，肢体语言丰富，喜爱穿搭，有一定审美能力;3、思维敏捷，具有较强的语言表达能力和现场把控应变能力，善于调动气氛，与粉丝互动;4、性格外向活泼，形象好气质佳，大胆自信，镜头感强。</t>
  </si>
  <si>
    <t>汽车销售实习生</t>
  </si>
  <si>
    <t>岗位职责：1、热情的接待进店客人，为客户介绍互联网汽车的优势并鼓励客户试驾，保证最佳的客户体验；2、建立良好的客户关系，协助销售主管举办试驾活动，并通过提供极致的客户体验使潜在客户向亲朋好友宣传小鹏汽车；3、带领客户试驾小鹏汽车，保证客户有极致的试驾体验；4、对现有小鹏汽车车主提供高质量客户服务；5、及时了解更新行业发展资讯；6、负责收集合格的潜在客户，推动销售以完成门店的销售目标；7、其他职责：根据业务发展需要，完成管理层指定的其他工作；8、工作地：上海。招聘要求：1、出色的人际沟通和客户服务能力，时刻保持充沛的精力；2、能够深刻理解并传递业务问题和技术概念；3、拥有优秀的团队意识，成为可靠的团队成员；4、接受晚上和周末工作，有零售、以及VIP客户销售经验优先；5、持有有效中国驾照，毕业前驾龄满一年，开车技术较为熟练。</t>
  </si>
  <si>
    <t xml:space="preserve">大学生营销储备干部 </t>
  </si>
  <si>
    <t>【公司简介】珍岛集团成立于2009年，聚焦企业数字化智能化，打造了全球领先的智能营销云平台Marketingforce.com，也是国内最大的营销及销售SaaS解决方案提供商。基于大数据、人工智能、云计算技术，现已形成IaaS（云计算）、PaaS(开放中台)、All-in-oneAISaaS等一站式智能营销云平台。总部位于上海市静安区大数据产业基地，第二总部位于武汉光谷，云计算机房设立于无锡基地，30+分支机构覆盖江苏、浙江、广东等省份。珍岛集团现有员工约4000人，累计申请软件著作权400余项，相关专利40余项。【营销储备干部】★岗位职责1.通过电话、陌生拜访、新媒体等渠道寻找潜在客户，邀约并拜访客户；2.与客户面谈，现场提供专业的产品演示和解决方案，完成销售；3.对老客户进行定期维护，及时了解客户需求售卖的是珍岛的明星产品“T-云”★岗位要求1.专业、性别不限；2.有无经验皆可（90%的伙伴都没有互联网行业经验，我们有完善的培训给你信心）；3.喜欢销售，能抗压抗挫，表达沟通能力强，有理想有抱负。★薪资待遇一线城市：上海保障薪资8000元，广州、深圳保障薪资7500元（含9%-29%提成）新一线城市：无责6000~7000二三线城市：无责5000~6000★招聘城市总部：上海大数据产业基地第二总部：武汉光谷分支：无锡、苏州、南京、扬州、南通、常州、杭州、温州、宁波、台州、金华、绍兴、义乌、深圳、广州、中山、佛山、顺德、东莞、惠州、成都ps：专业不限，工作地全国可选，等你来战！！！★应聘流程：【投递简历】——【线上初试】——【线上测评】——【复试】——【发放offer】——【培训报到】</t>
  </si>
  <si>
    <t>HD智能营销顾问</t>
  </si>
  <si>
    <t>工作内容：1、通过电话、陌生拜访、新媒体等渠道寻找潜在客户，邀约并拜访客户；2、与客户面谈，现场提供专业的产品演示和解决方案，完成销售（当你还不能独立面谈的时候，经理会手把手带着你并演示给你看如何和客户面谈）；3、对老客户进行定期维护，及时了解客户需求，把握客户心理，实现销售机会到销售产能的最大转化。岗位要求：4、全日制本科及以上学历，专业不限；5、对互联网行业有浓厚兴趣且考虑在营销领域发展；6、有较强的学习能力、沟通能力和适应能力；喜欢做与人打交道的工作薪资：上海：实习保障薪资8000元/月+提成9%-29%深圳、广州：实习保障薪资7500元/月+提成9%-29%杭州、苏州、宁波、南京：实习保障工资6000元/月+提成9%-29%无锡、武汉：实习保障保障工资5500元/月+提成9%-29%东莞、佛山、温州、台州、绍兴、金华、义务、成都、南通、常州：实习保障保障工资5000元/月+提成9%-29%惠州、中山、顺德、扬州：实习保障保障工资4500元/月+提成9%-29%1、以上工资为实习工资(即未拿到毕业证)；2、如已经拿到毕业证，保障薪资会在此薪资基础上高500~1000元/月。上海、深圳、无锡、宁波、武汉有宿舍，其他分公司发放一定住宿补贴。发展方向：纵向成长：营销储备干部-智能营销顾问-主管-经理-总监横向成长：见习智能营销顾问-智能营销顾问-经理-商务/助理/行政/人事（转岗）其他：Ø上班时间：9：00-18：30，法定节假日正常放假；Ø入职即交五险一金（需有毕业证）、员工宿舍、员工餐厅、带薪培训、带薪年假、年度旅游、定期团建、生日祝福、节日福利等；Ø享有带薪培训--系统的岗前培训、岗中培训，团队经理对新人带教培训，日常工作中不定期举行各类职业培训；Ø公司设有美甲室、娱乐室、健身房等娱乐设施提供给员工使用；Ø人脉：企业级客户，从业期间积攒高质量资源人脉；Ø氛围：互联网公司，年轻化团队open愉悦的工作氛围；</t>
  </si>
  <si>
    <t>经济与金融,国际经济与贸易,英语,计算机科学与技术,大数据管理与应用,工程造价,信息管理与信息系统,市场营销教育,行政管理,电子商务</t>
  </si>
  <si>
    <t>空间运营实习生</t>
  </si>
  <si>
    <t>职位描述：-日常门店运营：支持完成门店日常运营，包括用户接待服务、咖啡特饮制作、儿童托管陪伴、活动现场执行等等；-用户关系维护：负责用户关系建立和维护，与用户建立长期稳定的伙伴关系，不断提升客户对蔚来的忠诚度；-围绕NIOHouse的愿景与使命，负责以NIOHouse为载体的线下社区活动运营，为用户创造愉悦的生活方式；-配合总部的规划，协调区域公司资源，围绕节日、公司事件节点等，规划并制定NIOHouse全年活动主题。职位要求：-希望是大二/大三/研一/研二的在校同学，能保证每周至少3-4天，持续3个月及以上的稳定出勤时间；-保持精力充沛，在非常活跃的环境中提供出色的用户体验；-有一定的活动策划经验及规划执行能力，能够支持沙龙活动。该岗位仅向24/25届毕业学生开放。</t>
  </si>
  <si>
    <t>销售顾问</t>
  </si>
  <si>
    <t>岗位职责：1、负责整车销售服务和进店客户咨询服务；2、负责整车各车型的销售资料及客户档案；3、负责挖掘客户需求，实现产品销售；4、负责售前业务跟进及售后客户维系工作。上班时间：早班8:30-18:30晚班12：00-21:30，欢迎没有销售经验的新手来挑战。任职要求：1.高中或中专（含）以上学历。年龄18岁-35岁，五官端正，气质良好。2.有服务意识，诚信，积极有团队合作精神，能吃苦耐劳。3.对汽车行业感兴趣，具有一定的销售技巧。</t>
  </si>
  <si>
    <t>上海国际主题乐园有限公司</t>
  </si>
  <si>
    <t>上海迪士尼度假区是中国内地的第一个迪士尼度假区，在这里，亲朋好友们可以尽情体验和畅享一个充满奇幻、想象、创意和探险的全新世界。该度假区是上海迪士尼乐园的所在地，度假区内设两座主题酒店，一个大型购物、餐饮和娱乐区——迪士尼小镇，星愿公园和其他户外休闲区域。上海迪士尼度假区的演职人员为游客提供一流的服务，该度假区专为中国游客打造了融合了迪士尼神奇和中国文化魅力的体验。在不断发展这一神奇目的时，我们也在寻找各种专业的人才，包括一线演职人员以及创新的开发团队来帮助我们实现计划。</t>
  </si>
  <si>
    <t>迪士尼园艺部实习生</t>
  </si>
  <si>
    <t>职位描述园丁应具备合理科学的园林养护的基础知识，同时要了解不同种类观赏植物及其养护方法。在上海迪士尼度假乐园，园丁将会与资深园丁以及维护工一起工作，共同对乐园内植被及景观进行养护。园丁应听从资深园丁和园艺经理的命令和指示，并应具备园艺养护的实际经验，习惯与其他同事合同协作。工作职责(包括但不局限)•与资深园丁及其他初级园丁进行常规园林及景观养护工作•熟悉常规的树木修剪、剪切、割灌等日常工作，可操作不同类型的园林工具和设备，如绿篱机，割灌机，电锯等，熟练使用这些工具设备是景观养护的基本需求•及时检查，更换特定种植区域已死植被或者长势不理想的植被•会操作一些园林机械设备，如高架平台、驱动车辆和高尔夫球车等•能根据观察植物生长及土壤状况，做到及时灌溉补水•积极完成领导安排的其他各项工作</t>
  </si>
  <si>
    <t>机电总体设计师</t>
  </si>
  <si>
    <t>岗位职责：1、负责机电装备的总体设计2、负责开展相关专业领域科研项目研究任职资格：1、机械电子工程、电气工程等相关专业；2、具有机电类项目工程经验，或者担任重大专项负责人，研究方向为重大装备系统或者非标机器人系统控制者优先。3、具有独立负责开展新产品/项目开发的能力。</t>
  </si>
  <si>
    <t>月薪：25K-30K</t>
  </si>
  <si>
    <t>复合机器人一体化规划控制开发工程师</t>
  </si>
  <si>
    <t>岗位职责：1、负责为复合机器人（移动底盘+机械臂）设计一体化控制算法，联合解算和控制底盘与机械臂，扩展作业空间任职资格：1、硕士以上学历，计算机科学,自动化，机械设计或相关专业2、精通c/c++开发,熟悉linux系统会python加分3、对机器人动力学，运动学，正反解等知识有深入理解，熟悉LQRMPC等相关自动控制算法4、有机械臂或轮足式，足式等复杂机器人控制相关经验者优先5、了解ROS,有机器人开发,科研或比赛经历优先.比赛如RobotMaster,RoboCup,ACM等6、无障碍英文资料阅读与沟通能力优先，能够快速查阅英文资料解决问题，快速阅读英文文档</t>
  </si>
  <si>
    <t>月薪：15K-25K</t>
  </si>
  <si>
    <t>QC</t>
  </si>
  <si>
    <t>职位描述：1.从事并掌握蛋白药物生物化学检测相关实验研究；2.具有SDS-PAGE，HPLC，酶标仪，PCR，流式等分析仪器设备操作经验及检测方法开发的经验；3.熟悉药物研发要求及法规，能够独立撰写相关实验的SOP和方法开发报告等文件；4.具有分析解决问题的能力，能够带领组内成员的实验安排，日常管理工作，确保项目在时间内、预算内完成；5.负责对生物分析实验数据进行审阅并汇总；6.负责对实验室检测设备的维护保养和校验。岗位要求:1.制药工程，分析化学，分子生物学，细胞生物学或药学专业的本科或以上学历，或专科相关专业优秀毕业生，具有1~3年以上相关工作经验者优先；2.有生物制药工作背景和GMP实验室工作经验者优先；熟悉ICH、GMP及FDA相关指导原则或质量管理体系；3.有较好的英语读写能力，能够阅读与本职工作相关的英文信息/资料；4.工作认真负责，态度积极主动，勤奋好学，善于思考，责任心强；5.具有良好的沟通协调和团队奉献精神。</t>
  </si>
  <si>
    <t>国际工程</t>
  </si>
  <si>
    <t>岗位职责:1.负责与国际展会主办方沟通，熟悉图纸报审等相关流程；2.供应商拓展：把握供应商关系，控制成本，较强的预算及成本意识和管控能力；3.项目跟单及客户沟通：海外项目的时时跟进，及时处理项目进程中突发问题，保证海外项目圆满落地，效果图完整呈现。4.为国际项目寻找海外合作伙伴等；任职要求:1、英语口语流利，可用于工作；2、熟知搭建、展项工艺流程及材质，一年以上国际工程跟单工作经验优先考虑，负责过欧洲版块会优先考虑；3、善于沟通，处事儿冷静，善于处理突发事件；4、本岗位必要时需要国外短暂出差；5、本岗位可招聘外籍人需会基本的中文沟通。</t>
  </si>
  <si>
    <t>机器人调试工程师</t>
  </si>
  <si>
    <t>岗位职责：1、负责现场工业、服务机器人系统的安装集成、编程调试，优化节拍，使其能满足客户的批量生产要求；2、负责调整周边自动化系统以使整个机器人系统能顺利运行；3、机器人轨迹、精度以及节拍达到技术协议要求；4、编写项目操作说明书，以及维护说明书；5、配合机械工程师完成项目设计；前期项目设计的参与、项目生产制作的跟进参与、后期项目安装实施的操作；6、完成机器人售后维护及服务工作。任职要求：1、机电一体化、机械工程、自动控制、测控技术、电气等相关专业大专以上学历；2、熟悉plc编程和实际应用；3、具有3年及以上工作经验；4、了解各类常见的工业总线,对标准自动化设备有一定了解；5、了解市场上常用的机器人品牌，如ABB.Fanuc.KUKA.Motoman,有过机器人操作经验者优先；6、身体素质佳，能够吃苦耐劳，勤奋踏实，积极向上，并能适应加班及出差；</t>
  </si>
  <si>
    <t>浙江永恒文希传媒有限公司上海分公司</t>
  </si>
  <si>
    <t>浙江永恒文希传媒有限公司上海分公司成立于2023年04月26日，注册地位于上海市闵行区申旺路18号1幢163,165室，法定代表人为袁炯校。经营范围包括许可项目：广播电视节目制作经营；演出经纪；网络文化经营；音像制品制作。</t>
  </si>
  <si>
    <t>1、负责来访人员接待、登记、指引。2、面试人员登记、指引填写应征资料表、带着面试、反应面试结果;3、帮助公司行政管理，包括职场管理、设备管理、办公用品购置、活动组织、保障日常办公须要;4、帮助公司人事管理，包括聘请模块的根底性工作、办理员工入职、离职手续等;5、公司交办的其他事项。</t>
  </si>
  <si>
    <t>销售接待</t>
  </si>
  <si>
    <t>1、前期:主要与客人进行充分沟通,了解并充分挖掘客户需求,签订意向合同2、筹备:根据客户需求,为客户量身定制拍摄方案,撰写拍摄方案;帮助达人筹备流程、人员安排等筹备工作;帮助达人确定现场布置方案。3、中期:协调驻地执行团队,确保项目按计划有序进行;及时处理项目进行中突发情况。4、后期:执行后与达人沟通满意度等,维护客户关系.任职要求:1、沟通理解能力强,能准确把握达人需求;具有较强的文案写作能力,出色的文字组织能力,写作经验丰富,有丰富的提案经验;有策划案例2、思维逻辑较强,能合理统筹安排人员和物资;3、有良好的应变能力和执行力;4、有高度的敬业精神、工作态度积极主动、乐观;5、有较强的学习能力</t>
  </si>
  <si>
    <t>工作内容：1、协助主播进行直播，调动直播间气氛且能适时助播；2、配合直播运营制作直播规划及脚本撰写；3、跟进直播互动、维护主播与粉丝关系，解答粉丝问题；4、直播间现场设备调试，对直播呈现效果负责；5、协助公司完成其他相关工作的安排。任职要求：1、样貌端正，形象气质佳，声线较好；2、普通话标准，具有良好的口头表达能力；3、性格活泼，镜头感强，喜欢与人互动交流；4、有直播经验为加分项</t>
  </si>
  <si>
    <t>商务助理实习生</t>
  </si>
  <si>
    <t>l协助商务经理处理日常询价和舱位审批；l实时收集和反馈市场行情、舱位状况和箱源动态；l及时向销售部门推荐优势运价和船公司优惠活动；l完成日常运价数据录入，维护公司销售系统基础数据库；l参与商务洽谈，完成商务经理安排的其他工作。岗位要求1）物流、外贸、英语、法语、商务管理等相关专业的应届毕业生，形象气质佳；2）大专以上学历，英语四级以上，口语良好，书面能力强，懂法语的优先考虑；3）工作踏实勤恳、态度端正；处事灵活，思维敏捷；4）善于沟通、喜欢交际。</t>
  </si>
  <si>
    <t>游戏2D原画设计师</t>
  </si>
  <si>
    <t>1、有扎实的美术基础，能把控画面整体氛围,造型能力强、色感优越，有较强的风格适应能力和学习能力（对二次元文化有深入研究者优先考虑）；2、熟悉主流游戏美术风格，且有较强的原创、创意能力。3、有一定的软件基础，能进行数字绘画（数位板使用），如：Photoshop,C4D,3Dmax以及各类数字绘画及辅助软件。4、热爱绘画，对商业插画有一定程度的涉猎，参与过实习/有游戏插画绘画经验者优先考虑；5、热爱游戏行业，对游戏制作有热情，有良好的沟通能力和团队合作意识，有较强的责任感，有较强的抗压能力和学习能力。6、艺术设计、工业设计、视觉传达、动画、游戏国画、版画、游戏美术等相关专业优先。</t>
  </si>
  <si>
    <t>动画师</t>
  </si>
  <si>
    <t>根据项目要求负责游戏中各类角色动作的设计与制作，具有优秀的动画原理专业知识，练使用3Dmax或maya的动画功能模块。</t>
  </si>
  <si>
    <t>特效师</t>
  </si>
  <si>
    <t>根据项目要求负责游戏中游戏特效的设计与制作，了解UE或U3D引擎相关模块的应用。</t>
  </si>
  <si>
    <t>3D建模师/3D模型师/三维模型师</t>
  </si>
  <si>
    <t>1.负责项目的所需模型设计，2.根据需求制作不同级别的模型场景和人物，3.能独立完成模型制作.uv分解.贴图绘制及后期完善，4.能快速高效地按照原画制作高模，低模，制作或者绘画相关的贴图，5.负责项目的3d模型设计，研发和推进项目3d模块相关工作，做事认真负责，6.配合其他设计师进行模型的制作，共同完成美术研发工作，7.分享设计经验，提高团队整体水平。</t>
  </si>
  <si>
    <t>平面实习生</t>
  </si>
  <si>
    <t>要求设计专业，会PS大三或大四学生，每周至少2天时间可以全职</t>
  </si>
  <si>
    <t>日薪：120-300/天</t>
  </si>
  <si>
    <t>人事实习生</t>
  </si>
  <si>
    <t>实习生任职要求：1.具有良好的沟通协调能力和学习能力；2.工作认真细心、负责，逻辑思维强，聪明机灵，有团队合作精神；3.能周一至五天全职上班，服从公司调剂岗位；4.此岗位为长期发展培养人才，优秀者可毕业后转为正式岗位。5.公司为同学免费提供学习成长空间，在这里有完善的薪资、绩效、培训、晋升体系，可按照管培生的培养模式发展。薪资待遇：1.实习期前三个月生活费在3000-5000元之间，经考核后第四个月起6-8千，入职就签三方协议；2.一年后年度收入在10万以上，交五险一金；3.实习期间享受与公司正式员工一样的福利待遇；入职后我们将提供：五险一金；每月温馨的生日会&amp;传统节假日丰富的礼物；结婚、子女出生赠送精美礼品&amp;带薪年假&amp;补充年休假；&amp;员工国外游&amp;交通补贴&amp;年终奖金&amp;伯乐奖金&amp;金点子奖励&amp;工龄奖励&amp;敬老奖&amp;绩效奖金&amp;餐饮补贴；每周一激情四溢的晨会，让您过足主持的瘾；注重员工的文化生活，拥有自己的菩提俱乐部，还安排了摄影项目、不同形式的聚餐（东方明珠旋转餐厅、兰桂坊、国金中心53层）户外奔跑类（如：接力赛、撕名牌）、联谊会、读书品茶等等；l更重要的是，您将拥有：一群可爱、年轻热情的家人和伙伴；开放沟通、为梦想而生的工作氛围；交通便捷的工作点，自由、轻松的工作环境；有市场竞争力的薪资福利待遇，职业发展晋升空间如果您足够优秀，在任职期满2年，我司会配以期权！</t>
  </si>
  <si>
    <t xml:space="preserve">飞行器测试设计师   </t>
  </si>
  <si>
    <t>岗位职责：1、负责飞行器整器和分系统测试发射技术领域专业设计、测试及具体项目的实施；2、负责飞行器整器和分系统集成综合试验和靶场测试相关试验工作；3、负责测试细则、试验总结等各类相关的技术文件编制；4、负责测试设备设计开发及相关图纸设计；5、负责相关论文、专利等科技成果编制实施。任职资格：1、测控技术与仪器、通信工程、电气/电子工程、自动化、控制工程、机械电子工程、计算机相关专业；2、熟悉电气电子相关专业知识，具有一定的设计工作能力；3、熟练运用AUTOCAD、Altium、office等电气电子设计及办公软件，熟练掌握主流编程语言(C、PYTHON等)；4、适应一定程度的加班和定期出差任务，能承受较高强度的岗位工作。</t>
  </si>
  <si>
    <t>月薪：17K-25K</t>
  </si>
  <si>
    <t>运营部实习生（2026届）</t>
  </si>
  <si>
    <t>1、参加项目运营会议，协助整理、编写会议纪要；2、配合联系指定物业管理项目，密切关注项目管理动态；3、协助汇总、收集项目管理阶段性报表，形成总结报告；4、协助跟进项目管理督办事项，反馈督办进度给部门负责人；5、协助整理、归档物业项目管理资料，如图纸、合同、补充协议、预算等；6、协助完善物业管理管理资料，编制各类图表；央企总部招聘，要求2025届应届生；配备专门的带教老师，负责岗位工作教学引导；享受固定实习津贴，毕业后根据实习情况择优录用转正。</t>
  </si>
  <si>
    <t>信号处理设计师</t>
  </si>
  <si>
    <t>信息与通信工程、电子科学与技术、控制科学与工程、仪器科学与技术、机械工程、航空宇航科学与技术、材料科学与工程、光学工程、电气工程、计算机科学与技术、兵器科学与技术等相关专业。</t>
  </si>
  <si>
    <t>月薪：22K-30K</t>
  </si>
  <si>
    <t>雷达总体设计师</t>
  </si>
  <si>
    <t>1、负责雷达总体设计；2、软件及算法开发；详见招聘简章。</t>
  </si>
  <si>
    <t>月薪：25K-35K</t>
  </si>
  <si>
    <t>信息与通信工程,电子信息类</t>
  </si>
  <si>
    <t>机械液压设计工程师</t>
  </si>
  <si>
    <t>任职及岗位要求：1.为人诚信，工作认真负责，高度敬业精神。2.较强的学习、交流、沟通能力，具有团队合作精神。3.基本的机械液压相关知识，专业课程学分良好。4.熟练使用工程相关绘图软件，如CAD,CAXA,Solidworks等，主要负责液压系统及设备的设计工作。工作地点：上海或者四川德阳市</t>
  </si>
  <si>
    <t>机械类,机械电子工程,机械制造及其自动化,动力机械及工程,机械设计与制造,机械制造与自动化</t>
  </si>
  <si>
    <t>维保管培生</t>
  </si>
  <si>
    <t>1、全日制本科及本科以上学历应届毕业生，优秀的2020年毕业生亦可；2、有意向在电梯行业发展，公司提供专业的电梯知识、技能培训，明确的个人职业发展规划；3、可发展成维保站长、维保经理等，3年内成为公司骨干，作为公司的储备管理人才。4、吃苦耐劳，意志坚定，愿意服从安排到一线岗位历练；5、目标明确，富有工作热情与激情，善于学习；</t>
  </si>
  <si>
    <t>机电一体化技术</t>
  </si>
  <si>
    <t>万国数据服务有限公司</t>
  </si>
  <si>
    <t>万国数据服务有限公司（纳斯达克股票代码：GDS；港交所股票代码：9698）是国内面向5G、人工智能、云计算、工业互联网、区块链等领域的新一代信息技术基础设施服务提供商，于2016年在美国纳斯达克上市，并于2020年在港交所成功二次上市。公司拥有21年安全可靠的IT基础设施服务经验，在国内核心经济区域部署数据中心。截至2022年第二季度末，公司在京津冀地区、长三角地区、粤港澳大湾区及西南等地区部署了98座自建数据中心。这些数据中心规模大且安全可靠，电力供应充沛，绿色高密且高可用，能够满足全国各类型客户对数据中心日趋旺盛的需求。随着中国本土客户出海需求愈发强劲，万国数据也在持续推进区域化战略落地，全力支持客户业务的全球化部署。目前我们已在香港、澳门、马来西亚、印尼等地规划和建设超大型数据中心项目。万国数据目前服务超780家客户，包括大型国有银行及商业银行、国内外顶尖的金融服务机构、大型知名跨国公司、地方政府、电信与IT服务商，以及国内互联网与云计算及各垂直行业的领军企业。如果你学习能力强、韧劲十足、愿意投身IT基础设施领域，成为行业专才，那就加入我们的团队吧</t>
  </si>
  <si>
    <t>培训助理</t>
  </si>
  <si>
    <t>工作内容：1.协助组织/学习发展各项数据的统计与整理2.协助各类组织/学习发展活动的前期材料准备、内部宣传与策划3.协助各项组织/学习发展活动现场的支持4.做好组织/学习发展各类文档、音视频材料的整理及归档5.领导交办的其他事宜基本要求：1.本科及以上，大三及研二优先考虑2.具有较强的英文读写能力，CET六级及以上3.细心和耐心，具备较强的沟通能力和学习能力，逻辑思维能力强4.熟练使用OFFICE办公软件，熟悉平面设计相关软件优先5.每周至少3天实习</t>
  </si>
  <si>
    <t>人力资源管理</t>
  </si>
  <si>
    <t>总裁办管培生</t>
  </si>
  <si>
    <t>【总裁办管理培训生】★BASE地：上海、武汉★薪资待遇：13k~20k+弹性奖励（根据工作表现而定）★岗位内容：1、前3个月的业务销售锻炼，熟悉业务部门的主要工作和掌握必要客户开发和维护的技能（电销+面销），了解公司的管理制度、运作模式、行政、人事、跨部门沟通等方面，提出建议，促进改进；2、总裁办的督办和职能业务锻炼，协助公司完成各部门的相关项目，完成能力规划的训练和培养。负责督办集团各个部门，发现问题，分析原因，与部门相关负责人沟通对接，提出建议，督促并改进，以及项目执行等总办其他工作安排；3、经过业务销售和总裁办的工作锻炼，对公司体系有了全面的深入了解，将根据个人能力、自身意愿和公司需求进行部门定岗，深入发展和提升业务能力。★任职资格：1、985211学历，应届毕业生，专业不限，学习成绩优异；2、熟练使用Word、Excel、PPT等办公软件，积极参加校内外活动，并有相应优异表现；3、学习能力强，抗压能力强，条理清晰，认真负责，做事靠谱，能够多线程任务工作；4、擅长沟通、跨部门协作、善于自我管理，能够积极主动督办总办各类工作；5、适应能力要强，爱学习，职业、敬业，接受拥抱变化，阶段性调岗工作。</t>
  </si>
  <si>
    <t>月薪：13K-20K</t>
  </si>
  <si>
    <t>客服管培生</t>
  </si>
  <si>
    <t>岗位：客服管培生薪资：基本工资5500元+绩效要求：1、形象好、气质佳、有亲和力；2、女165cm以上；3、具备一定的服务意识。以上岗位均免费提供食宿</t>
  </si>
  <si>
    <t>市场营销</t>
  </si>
  <si>
    <t>岗位：市场营销薪资：保底薪资8000＋提成要求：1、形象好、气质佳、沟通能力强；2、身高男170cm以上、女160cm以上；3、热爱销售工作，热爱汽车，有良好的销售技巧。以上岗位均免费提供食宿</t>
  </si>
  <si>
    <t>月薪：8K-20K</t>
  </si>
  <si>
    <t>保利物业服务股份有限公司上海分公司</t>
  </si>
  <si>
    <t>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t>
  </si>
  <si>
    <t>岗位职责：1、负责EHR系统人员信息管理，确保人员信息准确性；2、负责人员档案收集管理，人员晋升、异动、个人材料资料完成；3、负责公司人员合同、登记、盖章、下发，证书的登记记录；4、完成上级布置的其他工作。岗位要求：1、本科以上，人力资源相关专业均可；2、电脑操作熟练，熟悉office使用；3、有良好的团队合作意识和沟通协调能力，认真踏实；</t>
  </si>
  <si>
    <t>生产制造类</t>
  </si>
  <si>
    <t>培养方向：产线储干、质量工程师、采购工程师、计划物流储干、工艺工程岗位要求：①2026届毕业生，中专及以上学历；②机械机电、物流管理等理工科专业优先；③进取好学，善于思考，有一定创新能力及抗压能力。</t>
  </si>
  <si>
    <t>营业设计师</t>
  </si>
  <si>
    <t>1、负责项目信息的收集、整理、分析2、负责维护客户,建立合作关系3、跟踪项目,绘制电梯图纸,确保做好项目相关事宜4、为客户提供专业的电梯技术咨询,掌握客户需求5、及时完成领导交办的其他工作职位要求:1、大专及以上学历，机械类及机电一体化专业毕业优先;2、有CAD基础优先；3、有相关工作经验优先；4、具有良好的人际交往及团队合作精神；5、良好的语言表达能力；6、踏实勤奋正直,能够承受压力,23~35岁。</t>
  </si>
  <si>
    <t>副总秘书</t>
  </si>
  <si>
    <t>1.整理日常公文、报告等相关文书资料；2、负责部门呈送批核文件的预审、整理、分类及递交工作；3、负责日常会议的组织、安排，并负责起草、汇总会议资料；4、负责日常来访客人的接待工作；5、日常行程的协调及安排工作；任职要求：1.大专及以上学历；2、熟练使用office等办公软件，语言及文字表达能力强；3、形象气质佳4、性格热情开朗，善于沟通；做事细致、认真，亲和力强；公司福利：1、公司提供员工公寓，表现优异者可升级为单人公寓；2、公司环境优美，绿植丰富，生活便利。公司园区内有无人超市，羽毛球馆、网球场、台球、乒乓球、健身房、书吧等；3、朝阳行业，晋升方向多元化，晋升空间大。</t>
  </si>
  <si>
    <t>电子商务类,计算机信息管理,计算机类,计算机科学与技术,秘书学</t>
  </si>
  <si>
    <t>上海捷声商务服务有限公司</t>
  </si>
  <si>
    <t>上海捷声商务服务有限公司JieShengCommunicationServices（Shanghai）Inc.以下简称捷声或JCS2015年3月成立于上海自贸区，作为金慧科技集团全资子公司同时作为VCS的中国兄弟公司，主要负责呼叫中心项目实际落地运营工作。金慧科技集团成立时间2013年11月，注册资金10000万元雇员总数10000+，国内交付地24，国内交付站点34是阿里巴巴、字节跳动、中国移动、招商银行框架服务商国内首家COPC多站点认证外包服务商客户联络中心行业协会推荐企业</t>
  </si>
  <si>
    <t>客服专员</t>
  </si>
  <si>
    <t>职位描述：1、接听顾客来电，提供汽车相关业务咨询服务；2、在线帮助客户解答处理车辆问题；3、对于电话内容进行原话录入；4、对于入电数据汇总统计。任职要求：1、中专及以上学历，有2年以上客户服务工作经验者优先。2、普通话标准、流利，具备良好的服务意识，亲和力强。3、具备良好的表达、理解、判断和沟通能力。4、计算机操作熟练，中文输入45字/分钟以上。5、为人真诚，具备良好的团队合作精神。工作时间：做五休二，轮休制度，工作时间9:30-18:30或者8-22点之间轮班综合薪资：满勤3000+500（车贴、满勤）+表现奖励工作地址：上海市宝山区少年村路6号/浦东新区德堡路472号地铁路线：地铁七号线场中路站1号出口，步行15分钟左右</t>
  </si>
  <si>
    <t>上海堃苗教育科技有限公司</t>
  </si>
  <si>
    <t>上海堃苗教育科技有限公司，是贝思优托育品牌总部公司。贝思优品牌创设于2017年，专注于0-3婴幼儿托育服务，是爱绿教育集团下属的品牌。自2016年9月起，在集团30多年的办学经验和平台上，贝思优深耕0-3托育服务品质，是业内极具专业口碑的持证合法化托育园！爱绿教育集团是一家以学前教育为主营业务的综合性教育产业集团。爱绿品牌于1987年创建，在创始人杨爱绿女士的带领下，自温州萧江创办第一所幼儿园开始，从未停下发展的脚步。三十多年来，爱绿从萧江出发，走向温州，走向上海，再走向了全国。如今已发展成为足迹遍及中国四大地区(华北、华东、华南、西南)、八大省市(上海、天津、重庆、浙江、江苏、广东、福建、四川)的大型民办教育集团。集团现有40余家直营爱绿幼儿园，20余家直营贝思优托育园，涉及领域还包括艺术培训学校和国际幼儿游泳等项目，累计投资超亿。专注于幼教30年的爱绿教育集团，早在8年前就将触角延伸至0-3岁教育领域，集团下属大部分幼儿园皆为所在社区、街道的指定早教点。</t>
  </si>
  <si>
    <t>育婴师/保育员</t>
  </si>
  <si>
    <t>工作职责：1、协助主班老师完成教育教学任务；2、协助负责婴幼儿在园一日生活常规管理。实习地址：上海市杨浦区长阳路2087弄8号上海市宝山区漠河路230号1幢1楼上海市闵行区虹梅路2878、2882号上海市闵行区紫月路919号上海市闵行区宁虹路1166号106、107室浦东新区祝桥镇上飞路919号梦栖园45幢1楼</t>
  </si>
  <si>
    <t>微旭商贸（上海）有限公司</t>
  </si>
  <si>
    <t>微星科技成立于1986年8月,一直以来始终秉持着『产品卓越、质量精良、服务完美、客户满意』的四大经营理念，专精于主板、各式显示适配器、笔记本产品的设计及制造，基于对客户满意的坚持下，历经严格的考验脱颖而出，跃身成为全球前三大的主板制造商；同时也是台湾最大、全球前五大的服务器制造商。而显示适配器的表现更是令人赞叹，已连续四年蝉联全球显示卡销售冠军美誉。</t>
  </si>
  <si>
    <t>运营助理</t>
  </si>
  <si>
    <t>岗位职责：1、负责线上店铺的产品发布更新及维护，相关线上客情维护；2、负责店铺日常促销活动的提报、规划，针对活动效果进行跟踪和评估；3、负责线上产品数据整理分析，产品限价管理等事宜；4、主管安排的其他工作。岗位要求：1、本科及以上学历，专业不限，欢迎应届电脑DIY爱好者；2、熟悉电商及天猫、淘宝店铺运营模式；3、富有团队协作精神，认真、仔细、有责任心；4、熟练操作Excel、PPT等办公软件，有一定数据分析能力；5、良好的职业修养，有一定的沟通及表达能力，有一定抗压能力。</t>
  </si>
  <si>
    <t>市场营销,电子商务</t>
  </si>
  <si>
    <t>支持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t>
  </si>
  <si>
    <t>经理助理</t>
  </si>
  <si>
    <t>支持经理处理日常办公室工作；内部外部文件收集及文件翻译.支持专家的工作，保持与供应商的联系。跟进工作或项目并反馈给经理。.根据经理的要求做数据分析和市场调研。.为经理准备汇报的资料和展示PPT。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t>
  </si>
  <si>
    <t>管理培训生</t>
  </si>
  <si>
    <t>1、总部职能岗位管理培训生：服务管控中心、品质管控中心、企业发展中心、财务管理部、综合管理部和人力资源部管理培训生；2、运营岗位管理培训生：上海各项目基础管理岗位管理培训生即项目运营条线秩序维护、工程管理、客户服务、环境管理和综合管理岗位管理培训生。岗位需求：根据公司发展不断扩大，为了更好提升管理团队的综合素养，也为了更好的对职能和项目管理人员进行补充，特拟定自2022年10月起启动招聘“新瑞”计划，即招收20名应届毕业生，具体要求如下：1、有志于从事物业管理行业；2、男女不限、形象良好，较强的沟通和表达能力；思维活跃，有较强的创新意识；有责任心，适应能力和抗压性强，3、有一定的文书编写能力，熟练操作各类电脑软件如PPT、PHOTOSHOP等；4、专业不限、户籍不限，除工程类“新瑞”需要对口机电类、工程技术类专业外；5、本科以上，985，211院校可优先考虑，条件特别优秀者可放宽至应届大专毕业生。如经面试录取后实习期为2023年2月起至2023年6月30日，经实习期评估合格可签订正式劳动合同，签订正式劳动岗位职级不低于主管级。工作内容：通过在总部、区域、项目的轮岗学习，对职能人力行政、财务管理、服务管控、品质管控、市场拓展、项目管理（客服、工程、秩序维护、环境管理等）多模块工作进行了解和熟悉；协助上级主管处理工作日常事务；在工作中提出相关建设性创新性可行性建议，不断优化工作流程；完成部门领导交待的其他工作事项。我们提供的此薪酬福利：薪酬保障：提供具有竞争力的薪酬、绩效工资、年终奖及”五险一金“福利补贴：提供带薪年假、过节福利、高温补贴、团队建设等培训发展：提供不定时的内外部培训、轮岗、转岗机会，每年晋升/调薪机会员工关怀：年度免费体检、旅游及其他活动你将能获得的：实习的机会：毕业前你有充分的了解岗位、公司和行业的机会发展的机会：你将会获得人力、财务、客服、工程、运营、品质、市场拓展等多方面发展的机会，还有全国几十个城市发展的机会定制化成长的机会：你将获得专属你的定制化成长的机会，可根据自己确定的未来发展方向制定专属话儿的培养计划</t>
  </si>
  <si>
    <t>节卡机器人股份有限公司</t>
  </si>
  <si>
    <t>JAKA节卡机器人，全球协作机器人革新者。创立于2014年，音译自英文名“JAKA”（JustAlwaysKeepAmazing）永葆卓越之意，是一家聚焦于新一代协作机器人本体与智慧工厂创新研发的高新技术企业。节卡机器人传承了上海交通大学机器人研究所自1979年以来的机器人核心技术积累与研发基因，组建了由10余名领域权威专家及百余名资深工程师组成的庞大研发团队，目前在驱控一体化、一体化关节、拖拽编程、无线互联等多项应用上取得了创新性突破，不断引领着机器人技术发展潮流。节卡机器人以“用机器人解放双手”为使命，秉持专注、专业、原创精神，将智慧的火花传递到全球各个角落，助力企业迈入工业4.0时代。</t>
  </si>
  <si>
    <t>财务管培生</t>
  </si>
  <si>
    <t>工作职责：1.财务轮岗：包括总账、资金、税务、成本及财务分析，全面储备培训；2.熟悉各岗位工作职责，善于发现问题，提出问题并寻求解决问题方法，提高工作效率及输出结果；3.协助导师完成一些基础工作。任职资格：1.熟悉国家会计、税务法律法规及相关税收政策；2.能够熟练运用财务软件及办公软件；3.良好的个人发展意愿，较强的语言表达、沟通协调能力；4.接受从基层岗位做起，有较强的学习能力与执行能力，富有团队精神和奉献精神。</t>
  </si>
  <si>
    <t>月薪：12K-15K</t>
  </si>
  <si>
    <t>上海卫星装备研究所</t>
  </si>
  <si>
    <t>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5B、500KN振动台等国内先进的大型试验和测试设备。现有从业人员600余人，其中硕士及以上学历人员占比近50%，高级职称150余人，特级技师2人，享受国务院政府特殊津贴4人，另有上海市领军人才、集团公司技术带头人等高层次人才数十名。聚焦高精度装配与测试技术、航天器热学、力学试验技术、真空装备技术、空间综合环境模拟与试验技术、数字化制造技术、先进工艺装备技术、试验测量与控制技术等核心技术领域，近五年共荣获国家科学技术进步二等奖、国家技术发明二等奖、国防科技进步一等奖、上海市科技发明二等奖等20余项科技奖。上海卫星装备研究所始终以建设“国内综合实力最强的航天器AIT中心、华东地区专业最全的宇航装备试验鉴定中心、上海市品牌最优的真空应用装备发展中心”为指引，为我国军民商航天器装备总装集成、试验测试技术研究和装备研制提供强力支撑。在未来的发展中，始终践行让员工从事有尊严的工作，享受有温暖的生活，做一名自豪的航天人！【需求专业】控制科学与工程、仪器科学与技术、电子科学与技术、动力工程及工程热物理、机械工程、航空宇航科学与技术、流体机械及工程（真空）、制冷与低温工程【薪酬福利】第一年薪酬：绩效考核称职情况下，博士25-35万元；硕士20-25万元；本科13-15万元。次年度起收入与个人绩效挂钩。福利待遇：入编后享受20万以上事业单位住房补贴；外地生提供人才公寓、集体宿舍或租房补贴；缴纳五险二金，补充商业保险等；享有餐贴、安家费、疗休养等；享受应届生上海市落户重点单位加分。职业发展：提供职业领航、岗位培训、学术会议、公派出国留学等完善的发展平台和多元化的职业发展通道。</t>
  </si>
  <si>
    <t>工程师</t>
  </si>
  <si>
    <t>任职资格：1、机械/机械电子/控制/仪器仪表/自动化等相关专业2、大学本科3、熟练掌握AutoCAD、Pro/E、ADAMS、ANSYS等绘图、仿真、计算软件；5、具有较强的组织、表达、写作能力。</t>
  </si>
  <si>
    <t>月薪：12K-20K</t>
  </si>
  <si>
    <t>机械设计制造类,控制科学与工程,测试计量技术及仪器,自动化</t>
  </si>
  <si>
    <t>智能热试验技术专业工程师</t>
  </si>
  <si>
    <t>工作职责1、跟踪航天器热试验技术新动态，开展空间环境试验前沿技术的研究和相关产品的研发；2、负责相关预研课题的申报、研究；3、国军标、院标、所标的申请与编写；4、参与技改论证。任职资格1、工程热物理专业背景；2、熟悉航天器热设计理论专业知识；3、熟悉相关专业软件；4、具有较强的组织、表达、写作能力。</t>
  </si>
  <si>
    <t>月薪：10K-20K</t>
  </si>
  <si>
    <t>动力工程及工程热物理</t>
  </si>
  <si>
    <t>机械结构设计师</t>
  </si>
  <si>
    <t>岗位职责：1、负责新产品项目/机电装备结构设计与研制；2、负责开展相关专业领域科研项目研究任职资格：1、机械电子、机械设计、机械制造及其自动化、机械工程等相关专业；2、具有扎实的结构设计相关专业知识，专业方向为结构设计、仿真等。3、熟悉PRO-E、UG、SolidWorks等设计软件。4、熟悉相关设计规范，具有装备产品设计经验优先。</t>
  </si>
  <si>
    <t>月薪：17K-20K</t>
  </si>
  <si>
    <t>上海航天控制技术研究所</t>
  </si>
  <si>
    <t>八〇三所，始建于1960年，是我国最早从事导弹武器、航天运输器、空间飞行器控制系统和惯性技术产品研制的单位之一，已发展成为集研发、设计、生产、试验为一体，专业优势突出、产品配套齐全、具有自主创新能力和综合优势的航天控制系统研究所。依托系统研发与单机研制的综合优势，八〇三所的飞行控制、光电探测与制导、惯性测量与导航、伺服驱动与控制等技术均达到国内先进水平，产品应用覆盖陆海空天全领域，是我国航天任务的主力军，为提升我国国防装备建设、国民经济发展作出了重要贡献。八〇三所是上海市惯性技术学会和上海市红外与遥感学会的理事长单位；建有上海市空间智能控制技术重点实验室、上海惯性工程技术研究中心、上海伺服系统工程技术研究中心、航天科技红外探测技术研发中心等4个省部级创新平台、14个产学研合作平台和1个海外研发中心，与18个国家和地区开展国际合作。八〇三所拥有雄厚的人才实力，培养了以院士、型号两总为代表的技术专家，以中华技能大奖获得者为代表的技能工匠。现有从业人员2000余人，博士100余人，副高级及以上专业技术人才600余人，国家级专家、国家“万人计划”、享受政府特贴专家、省部级技术带头人等20余人。先后荣获国家科技奖10余项、省部级科技奖380余项；荣获中央企业先进集体、上海市五一劳动奖状等荣誉称号百余项。秉持“成功、奋斗、创新；精细、协同、高效；开放、融合、共赢”的特色文化理念，八〇三所将不断创新进取，勇担航天强国建设重任，为实现中华民族伟大复兴而不懈奋斗！</t>
  </si>
  <si>
    <t>航天控制工程师</t>
  </si>
  <si>
    <t>职责描述：负责航天产品的导航、制导、控制的算法或软件开发负责控制系统研发，动力学建模等工作任职要求：1.控制科学与工程一级学科相关专业及方向2.有飞行力学、飞行动力学、自动控制原理、现代控制理论基础3.具有卫星、导弹、飞机姿态控制系统研发相关经历者优先，熟练运用Matlab等专业分析软件4.承担过姿态控制相关项目负责人或具有伺服单机设计经验者优先5.有航天、航空背景者优先</t>
  </si>
  <si>
    <t>月薪：16K-25K</t>
  </si>
  <si>
    <t>探测制导与控制技术,控制科学与工程,控制工程,导航、制导与控制,控制理论与控制工程,飞行器控制与信息工程</t>
  </si>
  <si>
    <t>总体装配工艺师</t>
  </si>
  <si>
    <t>岗位职责：1、负责总体装配技术领域专业研发及具体项目的实施；2、负责产品总装工艺文件、工艺方案等各类相关的技术文件编制及相关图纸工艺性审查；3、负责总装现场的技术服务以及与总装相关的工装设计；4、负责组织并进行工艺技术攻关，解决总装生产过程中的各类技术难题；5、负责相关论文、专利等科技成果编制实施。任职资格：1、机械制造及其自动化、宇航制造工程、机械工程等相关专业；2、熟悉机械类产品加工、装配基本生产过程及工艺方法；3、熟练运用PROE、AUTOCAD、office等机械设计及办公软件；4、适应一定程度的加班和定期出差任务，能承受较高强度的岗位工作。</t>
  </si>
  <si>
    <t>机械加工工艺师</t>
  </si>
  <si>
    <t>岗位职责：1、负责机械加工技术领域专业研发及具体项目的实施；2、负责型号产品机械加工设计工艺性审查；3、负责本专业工艺文件与各类技术文件编制，提供现场技术服务；4、负责组织并进行工艺技术攻关和技术改造，解决生产过程中的各类技术难题。5、负责相关论文、专利等科技成果编制实施。任职资格：1、机械制造及其自动化、航空宇航制造工程、机械工程等相关专业；2、具有机加工工艺研究相关的项目经历；3、具有独立负责开展机械加工技术开发的能力：4、熟练使用UG、PRO-E、AutoCAD等相关软件；</t>
  </si>
  <si>
    <t>月薪：12K-17K</t>
  </si>
  <si>
    <t>岗位职责：1，通过各类电商平台、渠道等获取更多询盘；2，客户资料的整理，做到高效有序的开发维护；3，外贸订单中产品规格，价格，合同条款等的磋商与签订；4，订单签订后，生产过程中、发货后和客户反馈的问题及时沟通解决；5，熟悉外贸业务流程及各个环节，了解外贸合同签订注意事项与外贸风险管控方法，做到及时通知、催促客户应收货款，确保安全汇缴。任职要求：1，本科及以上学历。2，英语CET6及以上，具有良好的外语听、说、读、写能力，能与外籍客户无障碍沟通，独立完成客户的开发和维护。3，性格开朗，有团队合作精神，具有较强的人际沟通协调能力和应变能力，有责任心。4，工作效率高，做事情有条理，较强的抗压能力。</t>
  </si>
  <si>
    <t>上海空间电源研究所</t>
  </si>
  <si>
    <t>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现拥有国内唯一的空间电源全国重点实验室，建有电子电源、化学电源、物理电源等电源领域研发中心，获科技部批复建有空间电源技术国际科技合作基地。2020年4月批复成为空间电源领域国内唯一的国家创新人才培养示范基地。研究所具备直接向科技部推荐国家中青年创新领军人才和国家创新人才团队的资格。全所现有职工1400余人，其中核心技术人员900余人，硕士及以上学历700余人，35岁以下人员比例超过70%；柔性引进院士2名，引进和培养国务院政府特贴专家、国防突出贡献专家、上海市领军人才等省部级专家40余人。设有航空宇航科学博士后工作站，硕士研究生报考和培养点，是高端科技人才潜心科研和培养研究生的重要基地。现拥有硅/砷化镓太阳电池、锂离子电池等5条国军标生产线、2条宇航级高可靠产品生产线和多个卫星电源系统平台，旗下利用自身的专业优势孵化出上海航天电源技术有限责任公司、上海太阳能工程技术研究中心有限公司、航天氢能（上海）科技有限公司等3家高新技术民品企业。五十多年来，研究所已为百余颗卫星、多型号运载火箭、战术武器、航空、舰船、无人机、飞艇等提供了优质电源系统或单机电源产品，为我国的国防现代化建设和一流空间电源的建设做出了重大贡献。热诚欢迎有志于航天事业的优秀人才加入空间电源！</t>
  </si>
  <si>
    <t>化学电源工程师</t>
  </si>
  <si>
    <t>1、要求，电化学、应用化学、材料科学与工程等专业优先考虑；2、熟悉锂电池电化学原理、锂电池性能测试；3、熟悉锂离子电池国内外技术现状；4、具备基本的英语读、写、听、说能力；5、做事认真、态度诚恳、团队协作能力强；6、热爱航天事业、责任感强、能吃苦耐劳；</t>
  </si>
  <si>
    <t>化学,材料科学与工程</t>
  </si>
  <si>
    <t>设备工程师</t>
  </si>
  <si>
    <t>1、本科学历，机电一体化、电气工程等相关专业；2、3年以上锂电池生产制造自动化设备维护工作经验；3、熟悉工程机械、电气构造原理，有一定工程机械故障处理经验、机械设计和机械维护经验，熟知设备保养、维修流程及规范和标准；4、能够指导工程机械设备进行维修维护及故障排除；5、熟练使用CAD和其他现代化办公设备和软件（如Word,Excel等）；6、对工作有很强的责任心，做事积极主动、认真踏实，注重工作质量和效率；7、团队合作精神，良好的沟通能力。</t>
  </si>
  <si>
    <t>机械制造及其自动化,电气类</t>
  </si>
  <si>
    <t>货代销售</t>
  </si>
  <si>
    <t>工作职责：1.主要负责国内市场开发，完成个人业绩；2.基于公司管理系统，为客户提供配箱、绑扎和运输方案；3.陪同客户到工厂、仓库、码头等现场协调装柜/装船，审查装柜/装船和绑扎质量；4.定期拜访客户，充分了解客户需求，手机客服反馈信息，提升公司服务品质；5.跟踪订单进展和操作环节，及时应对客户意见和订单异常情况。岗位要求1）大专以上学历，英语水平良好，熟练使用办公软件；2）具备责任心及抗打击能力，拥有良好的沟通、组织协调能力，注重团队合作精神；3）能适应长途/短途出差。</t>
  </si>
  <si>
    <t>上海格瑞特科技实业股份有限公司</t>
  </si>
  <si>
    <t>上海格瑞特科技实业股份有限公司，立于1994年；中国楼控唯一新三板挂牌公司（证券代码：872532）格瑞特是建筑智能化行业建筑设备安全运行解决方案的老牌设备制造商、服务商、解决方案提供商、设备能源服务运营商；中国楼控唯一新三板挂牌公司（证券代码872532）；系上海高新技术企业，软件企业，拥有50余项专利和软件著作权；系中国TC-100标准化委员会委员单位；多个行业协会副理事长和理事单位；建筑设备管理系统连续8年被多个专业机构评为中国十强品牌（含进口品牌）解决方案和产品遍布中国（大陆）所有省份；近2000用户数十万的终端运行中主要产品和解决方案：楼宇自控、能耗计量、空调计费、IBMS、智能照明、巡检系统等公司以用户和技术为导向，为用户提供易用的全生态全生命周期解决方案和产品；服务于新建筑和城市更新，及装配式建筑的精细化运营。</t>
  </si>
  <si>
    <t>助理调试工程师</t>
  </si>
  <si>
    <t>助理调试工程师1、岗位工作内容：（1）、学习楼宇自控、能源管理、智能照明等绿色建筑系统施工设计、现场指导、调试知识（2）、掌握楼宇自控系统软硬件操作、调试和现场问题解决能力2、岗位任职要求：（1）、大专及以上学历，自动化、信息工程、电子工程等工科专业（2）、有学习能力，已能够熟练CAD制图者优先。</t>
  </si>
  <si>
    <t>岗位职责1、按照规定的作业要求，独立完成工业部的检验、认证及技术咨询、工程监理部工程监理、无损探伤等相关工作等服务要求；2、代表客户在项目现场对设计、采购、施工、调试、验收、工程质量、进度、造价、安全、风险进行管理；在工程现场协调推进各相关方的工作，并及时向业主汇报；3、按照法规要求和当地行政管理部门配合，准备相应地工程资料文件编制和提交；4、对客户的质量管理体系能够进行检查、分析和审核，并提出相应提升对策；5、在完成指定的规定任务后按时记录工作发现，并按要求即时书面汇报工作给上级和客户。任职资格1、大专及以上学历，电力、设备、机械、无损、测控、仪器、石化类专业毕业；2、对质量检测行业感兴趣；3、有一定的电脑操作及报告编制能力；4、可以接受在施工现场工作。</t>
  </si>
  <si>
    <t>专业工程师（控制、力学、热控、结构、数字化）</t>
  </si>
  <si>
    <t>岗位职责：1、负责跟踪卫星研制领域结构机构、控制系统、热控设计、热试验、先进装备、生产线等技术工作；2、开展包装箱、两轴转台等大型非标装备专业技术研究，大型装备技术方案的编制、论证、投产工作；3、负责生产线建设规划、论证、课题申报、具体建设工作；4、负责生产线技术体系构建和攻关、工艺设备技术体系构建、对外配套服务及技术支持。任职要求：1、机械类、工程热物理类、控制类、力学，智能制造相关专业；2、有相关专业领域工程项目研制经验者优先；3、熟练掌握AutoCAD、Pro/E、ADAMS、ANSYS等绘图、仿真、计算软件；4、具有较强的组织、表达、写作能力。</t>
  </si>
  <si>
    <t>月薪：8K-18K</t>
  </si>
  <si>
    <t>机械类,控制科学与工程,动力工程及工程热物理,工程力学</t>
  </si>
  <si>
    <t>上海电气电站设备有限公司上海汽轮机厂</t>
  </si>
  <si>
    <t>上海汽轮机厂命名于1953年，是国家装备制造业大型重点骨干企业，是国内最早建成的汽轮机设计制造基地，是中国汽轮机的摇篮。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业汽轮机、特殊透平机械及改造机组等领域。在产品研发、设计、制造与服务能力等方面已达国际先进水平。我们融合了众多国外先进企业的技术优势，设计并制造了拥有世界级竞争力的汽轮机产品。通过与全球五大重型燃机制造商之一的安萨尔多强强联合，我们成为了国内首个拥有全系列燃气轮机产品研发、设计、制造与服务能力的企业，持续提升市场竞争力，进一步实现了国内领先、国际一流的发展目标。作为上海电气集团的标杆企业之一，我们正以肩负振兴中国装备制造业大任为动力，打造产业规模达百亿的优质企业，为中国重型装备制造业的发展作出新贡献。</t>
  </si>
  <si>
    <t>数控操作工/钳工/质量检验/现场检修/电厂技术服务/行车司机/起重工</t>
  </si>
  <si>
    <t>【用人态度】给想干事的人以机会，给能干事的人以舞台，给干成事的人以激励。【职业发展】学徒工-技能工-技能高手-技能专家-上汽工匠（配套的培训及激励措施）。【数控操作工】机电类\机械类\数控类\汽车类相关专业【钳工】机电类\电气类\钳工类\装配等相关专业【质量检验】机电类\机械类\装配等相关专业【现场检修】机电类\电气类\钳工类\装配等相关专业【电厂技术服务】机电类\电气类\钳工类\装配等相关专业【行车司机、起重工】不限专业（安排参加职业培训）具有中级以上技能等级者优先</t>
  </si>
  <si>
    <t>急救医师</t>
  </si>
  <si>
    <t>院前急救、危急重病症初步诊治与抢救护理</t>
  </si>
  <si>
    <t>临床医学</t>
  </si>
  <si>
    <t>1.学习设备维护；2.学习生产运营；3.学习质量管理；4.学习工艺开发。❗️机械、电气、自动化、计算机、财务、英语等相关专业❗️朝汽车零部件设计/生产运营方向发展❗️培养计划：生产主管、工艺工程师、设备工程师，质量工程师，董事长助理，成本会计等岗位，录用的管培生有明确的培养规划。</t>
  </si>
  <si>
    <t>工艺工程师</t>
  </si>
  <si>
    <t>类别岗位名称相关专业学历招聘区域厦门上海浦东上海浦西武汉G6武汉G4.5深圳成都研发(650)电子设计电子信息、电子科学与技术、信息与通信工程、物理、光学等本科/硕士/博士√√√√√√　阵列设计电子信息、材料、物理、自动化、微电子本科/硕士/博士√√√√电路设计物理、电子信息、材料、自动化、微电子本科/硕士/博士√√√√结构设计机械、自动化、力学、材料、仪器、航空航天等理工类本科/硕士/博士√√√√√√　光学设计材料、化学、光学、物理、电子信息、微电子等本科/硕士/博士√√√√√√　传感器开发岗电子科学与技术、微电子、物理学、电子信息（集成电路设计与集成系统/柔性电子学等）硕士　√　　　　　材料开发岗材料、光学、物理、显示器件、高分子、有机化学等相关专业本科/硕士/博士√√√器件开发岗物理、材料科学、光学、微电子、电子科学与技术等相关专业本科/硕士/博士√√√项目管理物理、电子、机械、材料、化学、自动化、管理类、语言类本科/硕士√√√√√√　工艺(1550)工艺技术岗自动化、材料、化学、机械、仪器、力学等理工类本科/硕士√√√√√√√CIM岗计算机、信息管理、自动化、电子信息等本科/硕士√√√√√　√制造支持岗计算机、机械、自动化、电子信息、工业工程等本科/硕士√√√√√　　设备岗自动化、机械、材料、仪器、电气等理工类本科/硕士√√√√√√√质量岗材料、化学、仪器、光电、机械等理工类本科/硕士√√√√√√　厂务岗化学、环境、电气、机械、能源与动力等本科√　√　　√√环安岗安全工程、化工、消防、电气、机械等理工类本科/硕士√　√√　　　职能(100)IT岗计算机、自动化、信息安全等理工类本科√√　√　　　知识产权岗法学类、理工学（理工+法律双学位）等本科/硕士　√　　　　　营销岗日语、市场营销、英语、电子信息.、经济与贸易等本科/硕士√√供应链岗经济与贸易、工商管理、物流管理等理工学、管理类本科/硕士√√　√√√　董办岗金融、工商管理等文学、理学&amp;工学本科/硕士√　　　　　　法务岗法学类等本科/硕士√　　　　　　财务岗会计学、财务管理、工商管理等本科/硕士√√　√　√√　人力资源岗人力资源管理、工商管理、计算机、心理学、教育学等本科/硕士√√　√　总计2300※学历要求：统招全日制本科、硕士、博士区域合计13004008028010010040</t>
  </si>
  <si>
    <t>自动化、材料、化学、机械、计算机、信息管理、自动化、电子信息等计算机、机械、自动化、电子信息、工业工程等自动化、机械、材料、仪器、电气等理工类材料、化学、仪器、光电、机械等理工类本科环安岗安全工程、化工、消防、电气、机械等理工类</t>
  </si>
  <si>
    <t>数字算法工程师</t>
  </si>
  <si>
    <t>数字算法工程师：1.将专业知识、标准、规范、数据等转化为算法定义文档或算法功能模块。2.理解工业数字化项目或产品需求，构建知识规则、机理模型或数据算法模型并以此提出解决策略，完成算法功能设计、实现和功能测试，对接开发人员并配合联调。3.对工业产品的全生命周期的数据管理，规范业务端数据属性和流程，通过数据治理、挖掘、分析、可视化等手段实现支持设计、生产、运营能力的监管、优化、诊断等需求。4.强算法类产品的调研、定义和研发</t>
  </si>
  <si>
    <t>机械设计制造及其自动化,电气工程及其自动化,自动化,机械工程,机械电子工程,机械制造及其自动化,动力机械及工程,流体机械及工程,计算机科学与技术,数学类</t>
  </si>
  <si>
    <t>工业燃机研发工程师</t>
  </si>
  <si>
    <t>工业燃机研发工程师：1.燃气轮机材料（包括高温合金、陶瓷基复合材料、热障涂层等）开发及性能分析2.燃烧流场计算分析、热声计算分析3.燃气轮机二次空气系统流路设计、分析，燃机密封部件设计和性能分析，机组热载荷分析及转子轴向推力设计分析4.机组总体热力方案设计、整机性能匹配分析，机组稳态热力分析、动态仿真模型开发及分析</t>
  </si>
  <si>
    <t>机械,机械类,机械设计制造类,能源动力类,能源动力,航空航天工程,航空航天类,飞行器设计与工程,飞行器制造工程,飞行器动力工程</t>
  </si>
  <si>
    <t>科研设计员</t>
  </si>
  <si>
    <t>科研设计员：1.各类汽轮机、燃气轮机本体结构方案及关键部套设计；2.各类汽轮机、燃气轮机的热力、通流设计；3.各类汽轮机、燃气轮机的系统、辅机及BOP设计；4.面向智能控制的技术方案开发</t>
  </si>
  <si>
    <t>工程力学,机械工程,机械电子工程,固体力学,机械制造及其自动化,机械设计及理论,力学,机械,能源动力,航天动力工程</t>
  </si>
  <si>
    <t>物业项目实习生</t>
  </si>
  <si>
    <t>岗位职责：1.负责业主日常诉求处理；2.负责小区现场品质监督；3.做好物业管理费催收工作及做好社区文化活动；4.跟进与协调处理业主相关维修问题，实时反馈，尽快予以解决；5.负责物业管理费收费通知单的发放和费用的催缴工作；6.负责收集辖区内用户资料。职位要求：1.要求形象良好，会基本的办公软件操作；2.有较好的沟通能力；3.大专以上学历，管理类相关专业。</t>
  </si>
  <si>
    <t>工程管理岗</t>
  </si>
  <si>
    <t>大专及以上学历，熟练使用office相关软件，工程相关专业者优先</t>
  </si>
  <si>
    <t>产品工程师</t>
  </si>
  <si>
    <t>1、负责新产品工艺开发和工艺策划，2、负责机加设备的刀具、工yy装和夹具设计，改进和优化工艺参数以提高实物质量、生产效率，降低各种生产成本和费用。岗位要求：1、全日制本科及以上学历，英语四级以上，优秀应届生优先。</t>
  </si>
  <si>
    <t>延锋国际汽车技术有限公司</t>
  </si>
  <si>
    <t>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延锋国际技术中心是延锋集团的核心职能部门，目前全球人数5000多人，总部在上海，在全球设有13个分中心。</t>
  </si>
  <si>
    <t>财务文员</t>
  </si>
  <si>
    <t>工作职责:1.负责财务共享中心若干工厂的应收款项相关业务的审核以及入账2.定期联系跟踪逾期应收款项回款进度，编制月度科目余额调节表3.定期与客户核对发票及收款账务，反馈差异并跟踪解决4.负责配合工厂分析，总账及审计提供相关统计报表及凭证基本要求：1.学历不限，大专及以上优先，2.优先财经类专业毕业3.具备良好的沟通表达能力4.品行端正5.英语沟通能力良好或具相关工作经验的申请者优先考虑6.基本的office办公自动化能力</t>
  </si>
  <si>
    <t>宣传文员</t>
  </si>
  <si>
    <t>岗位职责：1.参与企业微信号的日常运营工作。日常新闻稿的采、编，与基层宣传员的沟通，了解相关信息。2.负责企业文化工作推进，能策划、组织各类员工活动、文化活动。3.企业新闻、活动的摄影摄像，并进行视频编辑。4.能贯彻执行上级单位、本公司布置的各类工作。任职要求：1.有良好的文字功底。2.有较强的策划、组织各类型会议、企业文化活动的能力。3.有视频剪辑、绘图功底，会使用PR、PS、美图秀秀等设计软件；熟练运用办公软件。4.吃苦耐劳，执行力强，责任心强、服务意识，工作效率高；乐于沟通、乐于助人，具有积极的工作态度，有良好的团队精神和服务意识。</t>
  </si>
  <si>
    <t>安装调试员</t>
  </si>
  <si>
    <t>安装调试员（若干）职位要求：男性，大专及以上学历，机电一体化、电气自动化（或弱电）等专业，年龄18-25周岁，沪籍优先；熟悉CAD制图软件、有一定阅读图纸能力优先；身体健康、无高血压及心脏病史，视力正常；遵纪守法，品行端正，诚实守信，严谨踏实，执行力强，善于学习（退伍军人优先）；服从公司领导的工作安排和区域调动；工作职责：负责电梯后期的安装、扶梯现场调试工作；安装工程全过程中与用户的沟通、协调、现场管理工作；确保电梯通过公司及政府部门质量检测，确保电梯安全运行。工作区域：上海市各区就近分配；岗位转型：有相关电梯类似岗位工作经验者优先考虑；从事过电梯安装维保工作者，经专项面试通过后可培养使用。</t>
  </si>
  <si>
    <t>产品设计工程师（内饰/安全/座椅）</t>
  </si>
  <si>
    <t>主要任务和职责1.根据产品投产系统（PLUS）以及客户产品开发程序的要求，按时保质地进行产品开发。2.制定和优化设计方案，选择正确.合适的零部件和材料，力求在保证功能.外观要求的情况下成本最低；掌握项目工程开发费用的使用。3.完成产品数据.图纸和材料清单（BOM）表等工程技术文件。4.协助处理客户提出的问题并参与解决。5.负责协调样品制造，客户交样和文件准备。6.组织或参与各类工程会议，并落实和跟踪行动计划。7.及时总结座椅开发过程中发生的问题和经验。8.与供应商和部门工厂联系，提供技术支持。基本条件1.2022年应届毕业生（包含海外留学生）2.全国重点院校本科及以上学历；3.CET-4或其他同等级英语能力证书，听说读写流利；4.会德语.法语.日语.韩语者优先考虑；5.成绩优秀，有奖学金者优先考虑；6.有学生会工作及社会实践经历者优先考虑。</t>
  </si>
  <si>
    <t>月薪：9K-11K</t>
  </si>
  <si>
    <t>成本会计</t>
  </si>
  <si>
    <t>1、组织并负责实施ERP财务模块的具体推进工作、ERP操作指导及培训，确保ERP上线成功以及日常使用正常有序；2、审核完工产品的材料出库情况，保证按照BOM及投料变更后的清单进行领料，审核成品入库及发货单据为成本核算做好各项准备工作；3、按时组织完成存货的盘点工作，并出具盘点报告，监控存货的变化，保证存货的准确性；8、对呆滞存货进行定期分析和跟踪，减少公司损失；9、发出商品、在制品、存货跌价准备等工作的展开和跟踪，及时出具相应分析和报告；10、合理、及时地核算产品的料工费成本，保证成本的准确性；11、年度审计、所得税汇算清缴、高新申报等工作协助；12、及时出具各种成本分析报表，并提出改善建议，供管理者决策需要；</t>
  </si>
  <si>
    <t>CAE工程师</t>
  </si>
  <si>
    <t>主要任务和职责1.FEA设计分析1）对方向盘，气囊产品结构开展CAE分析及研究，了解结构和性能的关系；2）利用CAE工具，对产品（SW,AB）设计方案开展CAE分析，包括静态和动态分析；3）编写CAE分析报告，评估设计方案，提出潜在风险分析，给出改进意见；4）协助完成零件试验结果分析，负责比较CAE分析结果与试验结果的差异；2.竞争分析利用各种机会，获取市场.竞争对手等相关信息；对获得的竞争对手产品，进行详细分析，了解竞争对手的产品特点及成本，从而优化设计，相应更新本公司的产品平台，保持.提升相关产品的市场竞争力，促进业务发展和增长。3.培训利用各种机会和可获得的资源，通过自学.内训.外训.带教等相结合的手段，总结经验.教训，提高自身和其他工程人员的工程开发能力。4.参与行业的各种技术交流，宣传.展示公司在汽车被动安全系统的技术实力；基本条件1.2022年应届毕业生（包含海外留学生）2.全国重点院校本科及以上学历，CAE及机械专业类专业；熟练使用CATIA或UG，熟悉CAE分析软件；3.CET-4或其他同等级英语能力证书，听说读写流利；4.成绩优秀，有奖学金者优先考虑；5.有学生会工作及社会实践经历者优先考虑。</t>
  </si>
  <si>
    <t>钳工装配岗（大专实习）</t>
  </si>
  <si>
    <t>岗位职责：熟悉设计文件和工艺文件，检查操作设备及工量具使用状态良好，执行工艺纪律文明生产和安全生产，做好原始记录，协调处理生产过程发生的问题。工作内容：了解型号产品结构原理，完成零部件、插箱、组合、机柜、传动装置、系统结构的机械装配。</t>
  </si>
  <si>
    <t>主要职责：1.参与项目报价：参与可行性分析.报价数据及文件提交。2.支持产品结构设计和技术文件创建：支持结构设计和概念设计，协助项目组完成结构设计工作并按时提交。3.参与问题解决：参与项目结构问题解决，跟踪解决方案。4.参与设计和成本优化：参与结构设计优化，与客户.工厂和供应商沟通，跟踪优化方案的实施。5.支持创新技术研究：支持专利申请和创新计划提案，支持创新项目技术分析报告的输出，支持创新项目的发展。6.支持平台设计，设计指导文件。其他要求：1.2022年应届毕业生（包含海外留学生）2.本科及以上学历，结构设计.机械自动化或相关专业；3.熟练使用CATIA或UG，熟悉CAE分析软件3.良好的写作能力和文档处理能力，熟练使用Office和其他相关软件工具4.思维敏捷，有较强的洞察力和创新能力</t>
  </si>
  <si>
    <t>机械设计工程师</t>
  </si>
  <si>
    <t>工作概要：设计包括设备及生产线的机械部分，并调试设备直至交付工厂，提供良好的客户技术支持及用户反馈；1.设计装备或机械结构方案及3D细化设计2.选型计算，仿真模拟干涉及运动状态，节拍分析，重要结构及性能进行CAE分析并对计算校核3.制作设计DFMEA,组织开展内部和外部的设计评审会4.绘制流体图与工程图和制作产品BOM，输出动作逻辑图，产品中电气元器件的布置及控制要求5.图纸与采购流程发放申请6.与电气工程师技术交底，输出动作逻辑图，产品中电气元器件的布置及控制要求7.与制造工程师进行设计技术交底，现场装配技术指导，问题解答8.产品实际性能及功能，质量的检测，品试制及调试技术支持9.客户输入要求变更，以及现场问题，需要及时进行设计修改和优化岗位要求：1.2022年应届毕业生（包含海外留学生）2.全国本科及以上学历；3.CET-4或其他同等级英语能力证书，听说读写流利；4.会德语.法语.日语.韩语者优先考虑；5.成绩优秀，有奖学金者优先考虑；6.有学生会工作及社会实践经历者优先考虑。</t>
  </si>
  <si>
    <t>测试员</t>
  </si>
  <si>
    <t>岗位职责：1.按时按质按量完成工作任务单指派的检测任务（包括上机操作、作业流程、完成记录等），无差错；2.按职责做好分管试验设备/器具/工装/工具的维护保养，协助测试工程师对其维护、维修、检定和调试等工作；3.掌握各测量软件的基本使用方法，能正确执行测量程序并生成原始记录。（测量）4.按照实验室体系文件的要求规定开展日常各项工作;5.按设备操作规程正确使用各种检测设备进行检测;6.负责样品的管理、记录、报告归档、样品销毁等工作；7.不断的接受和掌握岗位技能和专业技能知识原理、方法、技术的培训及考核，包括新增能力、版本更新等；8.严格按要求完成实验室区域的目视管理和维护工作；9.遵守安全方针，遵守安全管理手册、程序文件、作业指导书和其他规章制度。任职要求:1.机械设计与制造，自动化，机电一体化等相关理工科专业；2.2021/2022届大专院校应届毕业生；3.吃苦耐劳</t>
  </si>
  <si>
    <t>工程助理</t>
  </si>
  <si>
    <t>工作概要1.负责各项事务的按时完成；2.负责部门内、外支持协调管理工作主要任务和职责1.负责各项任务按时完成，跟进任务进程，对结果负责；定期进行工作梳理、总结、制作相关报告2.负责支持完成集团内各项报告的协调、数据整理和分析等工作3.对外部支持工程师流程和费用进行管理4.协助内、外各部门进行有效沟通，并协调相关资源5.其他部门日常支持工作6.承担公司相关IOS文件以及IATF16949/ISO45001/ISO14000标准要求的责任，确保IOS文件的有效运行，并不断完善IOS文件中的相关程序及其应用基本要求：1.1.2022年应届毕业生（包含海外留学生）大学本科以上学历，理工科专业方向2.具备优秀/良好的中英文书面和口头表达能力3.熟练掌握Office操作</t>
  </si>
  <si>
    <t>导航算法工程师</t>
  </si>
  <si>
    <t>岗位职责：1、参与ROS移动机器人相关导航算法和架构开发，设计接口2、参与SLAM和多传感融合机器人定位算法的开发3、参与运动控制、路径规划算法的开发4、编写机器人控制状态机，实现产品功能任职资格：1、计算机科学、自动化等相关专业，本科以上学历、2、熟练掌握linux下c++开发，会Python加分3、有1年以上ROS使用或者开发经验，对移动机器人或传统机械臂或自动驾驶等相关方向比较熟悉4、有扎实的计算机算法基础，有大量的编程实践经验5、熟悉机器人运动学、碰撞检测、运动规划，深入理解轨迹规划相关算法6、熟悉线性代数、卡尔曼滤波、最优化理论等相关数学知识加分7、有较强的项目落地能力和产品化思维8、无障碍英文资料阅读与沟通能力优先，能够快速查阅英文资料解决问题，快速阅读英文文档</t>
  </si>
  <si>
    <t>会务助理</t>
  </si>
  <si>
    <t>工作地址：浦东新区张江丹桂路999弄张江国创中心1期岗位职责1、负责前台接待，访客登记、快递收发等；2、负责会务保障，包括会前准备、会中续水、会后收尾工作等；3、其他相关事务性协助工作。任职资格1、中专以上学历；2、熟练使用Office办公软件及办公自动化设备，普通话标准，能听懂上海话；3、具有良好的沟通、协调、表达能力，性格沉稳、待人礼貌周到，服务意识强；4、女性，年龄：18-35，身高：165以上，身材匀称，面容较好。</t>
  </si>
  <si>
    <t>电子装联工艺师</t>
  </si>
  <si>
    <t>岗位职责：1、负责电子装联专业领域工艺技术研发及具体项目的实施；2、负责本专业各类产品工艺技术文件编制，提供现场技术服务；3、负责组织并进行工艺技术攻关，解决生产过程中的各类技术难题；4、负责导电滑环、汇流环类产品的设计研发；5、负责相关论文、专利等科技成果撰写。任职资格：1、电子封装、材料、机械电子工程等相关专业背景；2、具有独立负责开展新产品/项目开发的能力；3、熟练掌握电路原理、数字电路和模拟电路相关理论知识；4、具有一定的机电产品设计能力，了解机电一体化产品精密装配；5、熟练使用AutoCAD、AltiumDesigner、PRO-E、Ansys等相关软件。</t>
  </si>
  <si>
    <t>月薪：18K-22K</t>
  </si>
  <si>
    <t>营销经理（校招）</t>
  </si>
  <si>
    <t>1、负责所有项下项目需求计划、发货计划、收款计划、新接订单计划；2、负责对重点项目立项审批报告的填报，对项目信息的准确负责并建立对外联系的通讯录；3、负责对用户现场售后服务需求的信息反馈，并沟通、协调现场服务管理中发生的商务问题、补缺件问题。4、负责合同的签订前的价格评审、条款评审、法务评审的配合工作；5、负责向用户反馈执行合同的制造进度、收发货事宜、开票及收款计划、售后服务需求。6、负责与用户进行合同谈判和签约，对合同文本中的内容负首要责任；7、负责见证报告、完工报告批准，装箱、物流、商检、报关、清关、保函、信用证议付等单证工作及协调；8、运营管理，负责需求计划、发货计划、开票计划、收款计划、新接订单计划及应收、库存管理和控制；9、负责技术、商务协议初审，内部提资竞争性分析及消差，相关谈判、评审、建议和签约，对合同内容负首要责任；10、负责合同翻转及拆解，执行节点设计及输入，内部和供应商提资初审及推动外部审批，项目进度及风险控制；11、协调和支持现场收货清点验收、安装调试指导、文件和问题解决、调试证书获取，售后及全生命期服务支持；任职要求专业要求：电气类（电气工程及其自动化/电机与电器）机械类（机械工程及其自动化）市场营销1、学历本科及以上；2、本科英语CET-4；研究生英语CET-6；口语良好；3、熟练操作计算机；4、有较强的承受压力的能力；较高的学习能力和适应能力；富有团队精神，有责任感；5、有学生干部工作经验优先。</t>
  </si>
  <si>
    <t>汽机研究员</t>
  </si>
  <si>
    <t>【汽机研究员-轴系振动】1、现场轴系振动故障解决；2、转子动力学设计计算；3、运维系统的现场调试；4、售前售后技术支持；【汽机研究员-通流设计】1、开展特殊透平相关新型热力系统新技术的调研、规划和研发工作；2、负责多级轴流压气机等特殊产品的气动设计和优化、数值模拟以及内部流动机理分析；3、开展各类压缩机、透平通流设计及气动优化工作；4、开展特殊透平产品性能试验和数据分析工作；5、负责特殊透平相关设计软件的发展及完善；</t>
  </si>
  <si>
    <t>工程技术</t>
  </si>
  <si>
    <t>岗位职责协助完成水电设施的日常巡检、维护、简单安装及维修工作，同时学习并掌握水电系统的基础原理、安全规范和实操技能。1.协助日常巡检与维护-跟随带教人对建筑物内的水电设施，进行定期巡检，记录设备运行状态。-协助完成水电设施的日常保养工作，-发现水电设施异常时，及时向带教人或上级汇报，并协助做好问题记录。2.辅助维修与安装工作-在带教人指导下，协助完成简单的维修任务，-参与水电安装的辅助工作，-维修或安装完成后，协助清理现场，整理工具和剩余材料任职资格：1.持证上岗（高、低压证、空调证等均可）；2.认真负责，沟通协调能力强；3.有意向在物业行业长期发展；</t>
  </si>
  <si>
    <t>燃机研究员</t>
  </si>
  <si>
    <t>【燃机研究员-结构、测试】1、负责叶片相关的结构设计及强度校核；2、负责燃气轮机相关部件的结构改进及强度验证；3、负责制造技术的支持；【燃机研究员-智能化】1、参与完成燃气轮机智能化热力平台开发工作，包括燃气轮机热力建模、状态监测和故障诊断等方面。2、跟踪国内外电厂智能化应用的最新动态。3、参与完成新设计和升级改造燃机及辅助系统的控制策略设计开发和调试技术支持工作。【燃机研究员-传热】1、各类燃机透平部件传热设计及热分析；2、各类燃机透平部件前沿技术调研及开发；3、电厂现场服务改进设计；【燃机研究员-气动】1、根据设计目标，开展压气机流道与叶片气动优化设计，并开展全工况特性评估2、压气机气动设计分析体系（方法、工具、流程）开发与优化完善3、压气机流场测试方案设计与数据处理分析4、压气机相关智能化产品与服务技术支持与开发【燃机研究员-燃烧室设计】1、负责燃烧器设计CFD计算分析2、负责燃烧室传热计算分析3、负责燃烧室非稳态计算方法开发4、负责燃烧室试验测量及数据分析【燃机研究员-材料与分析技术】1、对材料进行金相、力学和热物性分析2、跟踪国际上先进的燃气轮机材料技术3、承担材料应用技术的开发；4、能够独立承担项目和课题管理；</t>
  </si>
  <si>
    <t>【工艺员-产品工艺】1、负责汽轮机、燃气轮机、装备汽轮机等相关零部件的整体工艺规划及方案制定；2、负责产品设计工艺性审查，路线卡、工序卡等工艺技术文件的编制工作；3、负责专用刀具、夹具等工装的设计及相关技术准备工作；4、负责数控程序编制、NXCAM技术和仿真技术应用与推广；5、负责各类产品的技术协议编制、外协生产技术支持工作；6、负责制造现场技术问题处理及支持；7、负责汽轮机、燃气轮机的部套装配工艺、机组总装工艺、电厂技术服务工作；8、负责设计方案工艺评定及结构优化。【工艺员-材料工艺】1.材料、产品、工艺技术开发与试验研究；2.表面处理工艺准备及生产技术支持；3.材料应用性能数据库的建立和完善；4.材料技术规范的制定和应用；5.关键零部件寿命评估技术的研究和应用；6.新材料新工艺的科研攻关7.产品的材料、工艺首件试制评审；8.供应链的技术服务；9.产品售后的材料技术支持与服务；【工艺员-焊接工艺】1.产品工艺准备（生产工艺文件、焊接工艺评定、技术修改单、工装设计等）；2.生产现场服务、处理质量事件等；3.外协技术服务、电厂技术服务等；4.工艺技术开发、提升；5.焊接新技术研究；</t>
  </si>
  <si>
    <t>幼儿园教师</t>
  </si>
  <si>
    <t>工作内容：1、认真贯彻执行教师职业道德规范，积极履行《教师法》规定的各项义务。2、自觉遵守学校规章制度，认真参加学校规定的各种会议与活动，服从学校工作需要，承担和胜任学校分配的工作任务。3、熟悉教材，制定可行的保教工作计划,完成期末总结，协助整理教学资料的归档工作。5、积极参加各级的展示课、公开课等教研活动，承担课题研究任务，注重经验交流、积累。6、参与班级管理，主动承担学校安排的班主任工作。7、积极参加教师继续教育培训，按规定完成继续教育学分。</t>
  </si>
  <si>
    <t>数控车床操作工</t>
  </si>
  <si>
    <t>岗位职责：（1）根据生产计划，保质保量按时完成生产作业指标。（2）熟悉和掌握图纸及所提示的技术要求，事前校好工装和量具。（3）检查设备状况是否正常，油路是否畅通。检查材料是否符合加工要求。（4）协助检验人员进行抽样检查。做好半成品的交接手续。（5）做好设备的保养和润滑。设备发生故障，协助维修工工作。做好安全生产和现场5S。任职要求：中专以上学历，数控、机械、机电等相关专业，实习后直接就业。</t>
  </si>
  <si>
    <t>货代操作/海运出口操作/海运操作</t>
  </si>
  <si>
    <t>熟悉海运、货代行业的操作等业务，2年以上国内操作相关经验；具有较强的沟通协调能力，有广泛的同行接触和良好人际关系；能简单回复英文邮件；能熟练使用办公软件，操作相关现代化办公设备；具有较强的团队意识和敬业精神；性格开朗，形象佳者优先考虑。</t>
  </si>
  <si>
    <t>商务助理</t>
  </si>
  <si>
    <t>负责销售内勤工作：1，投标文件的编制；2，合同台账、清单、数据收集和整理；3，协助款项记录；4，其他销售部内务事项任职资格：1，大学本科及以上学历，欢迎应届毕业生；2，专业不限，欢迎文科类专业毕业生；</t>
  </si>
  <si>
    <t>3D设计师</t>
  </si>
  <si>
    <t>有至少半年以上的展览特装展台、活动项目的三维设计经验，含材质图、网格图、标志图、效果图等的制作等。</t>
  </si>
  <si>
    <t>修理改造业务岗位</t>
  </si>
  <si>
    <t>修理改造业务岗位职位要求：男女不限，18-40周岁，大专及以上学历，机电类、市场营销类相关专业为佳；听得懂上海话，上海户籍优先；有销售服务技巧者优先；遵纪守法，品行端正，具备良好的精神面貌；身体健康（无高血压及心脏病史），视力正常（500度以下）；能吃苦耐劳，学习能力强，有一定应变能力；能熟练运用常用办公自动化软件；能根据岗位需要服从领导安排；工作职责：参与电梯修理、改造业务方面的销售及客户的对接；协同相关部门为用户编制电梯修理改造解决方案，并跟踪协调实施进度；为现场同事及客户提供可靠的专业技术支持。岗位转型：有相关工作经验者优先考虑；从事过电梯安装维保工作者，经专项面试通过后可培养使用。工作区域：上海市静安区昌化路649号（上海三菱电梯安装维修分公司）工资待遇：面议从优、无工作经验条件满足者面试通过后培训上岗使用</t>
  </si>
  <si>
    <t>助理工艺工程师</t>
  </si>
  <si>
    <t>月薪：5K-12K</t>
  </si>
  <si>
    <t>实习车床/磨床操作工</t>
  </si>
  <si>
    <t>岗位要求：1、中专以上学历，能看懂图纸，能适应翻班。2、一经录用包吃，社保全部公司缴纳。</t>
  </si>
  <si>
    <t>日薪：200-250/天</t>
  </si>
  <si>
    <t>助理维修工程师</t>
  </si>
  <si>
    <t>1、负责公司电气设备维修、保养，对维修人员培训；负责电气维修技术工作。2、负责公司设备的电气维修工作及自动化技术技术指导。岗位要求：1、本科以上学历，英语四级以上，优秀应届毕业生优先。</t>
  </si>
  <si>
    <t>月薪：4K-11K</t>
  </si>
  <si>
    <t>负责展台项目中涉及的平面内容设计、排版、创意。</t>
  </si>
  <si>
    <t>质量工程师（校招）</t>
  </si>
  <si>
    <t>1、三包产品质量问题分析会议组织协调（含质量仲裁）；2、内、外部质量损失分析、统计及编制质量损失分析报告；3、外部三包纠正预防措施落实；4、公司CAPA系统综合管理。负责公司CAPA整个过程的监控，包括角色的分配等。5、参与各类质量体系审核工作；6、参与供应商准入工作。学历：本科及以上专业：电气、机械、质量管理</t>
  </si>
  <si>
    <t>工程技术实习生（2026届）</t>
  </si>
  <si>
    <t>1、协助对相关设施设备进行巡视检查；2、学习有序操作相关设施设备，确保设施设备正常运行；3、发现设施设备故障，协助及时维修或联系维保单位上门修理；4、协助督促维保单位对设施设备进行例行保养；5、在上级领导的指挥下，参与完成例行演练；6、学习填写设施设备管理日志或作业日志；7、发生紧急情况，学会及时响应、及时处置解决；央企总部招聘，要求2026届应届生；配备专门的带教老师，负责岗位工作教学引导；享受固定实习津贴，毕业后根据实习情况择优录用转正。</t>
  </si>
  <si>
    <t>名称</t>
  </si>
  <si>
    <t>展区</t>
  </si>
  <si>
    <t>展位</t>
  </si>
  <si>
    <t>A机械/制造/能源</t>
  </si>
  <si>
    <t>A01</t>
  </si>
  <si>
    <t>A02</t>
  </si>
  <si>
    <t>A03</t>
  </si>
  <si>
    <t>A04</t>
  </si>
  <si>
    <t>A05</t>
  </si>
  <si>
    <t>A06</t>
  </si>
  <si>
    <t>A07</t>
  </si>
  <si>
    <t>A08</t>
  </si>
  <si>
    <t>A09</t>
  </si>
  <si>
    <t>A10</t>
  </si>
  <si>
    <t>A11</t>
  </si>
  <si>
    <t>A12</t>
  </si>
  <si>
    <t>A13</t>
  </si>
  <si>
    <t>A14</t>
  </si>
  <si>
    <t>A15</t>
  </si>
  <si>
    <t>A16</t>
  </si>
  <si>
    <t>A17</t>
  </si>
  <si>
    <t>A18</t>
  </si>
  <si>
    <t>A19</t>
  </si>
  <si>
    <t>A20</t>
  </si>
  <si>
    <t>A21</t>
  </si>
  <si>
    <t>A22</t>
  </si>
  <si>
    <t>A23</t>
  </si>
  <si>
    <t>A24</t>
  </si>
  <si>
    <t>A25</t>
  </si>
  <si>
    <t>A26</t>
  </si>
  <si>
    <t>A27</t>
  </si>
  <si>
    <t>B互联网/电子/通信</t>
  </si>
  <si>
    <t>B01</t>
  </si>
  <si>
    <t>B02</t>
  </si>
  <si>
    <t>B03</t>
  </si>
  <si>
    <t>B04</t>
  </si>
  <si>
    <t>B05</t>
  </si>
  <si>
    <t>B06</t>
  </si>
  <si>
    <t>B07</t>
  </si>
  <si>
    <t>B08</t>
  </si>
  <si>
    <t>B09</t>
  </si>
  <si>
    <t>B10</t>
  </si>
  <si>
    <t>B11</t>
  </si>
  <si>
    <t>B12</t>
  </si>
  <si>
    <t>B13</t>
  </si>
  <si>
    <t>B14</t>
  </si>
  <si>
    <t>B15</t>
  </si>
  <si>
    <t>B16</t>
  </si>
  <si>
    <t>B17</t>
  </si>
  <si>
    <t>B18</t>
  </si>
  <si>
    <t>B19</t>
  </si>
  <si>
    <t>B20</t>
  </si>
  <si>
    <t>C汽车/服装/贸易</t>
  </si>
  <si>
    <t>C01</t>
  </si>
  <si>
    <t>C02</t>
  </si>
  <si>
    <t>C03</t>
  </si>
  <si>
    <t>C04</t>
  </si>
  <si>
    <t>C05</t>
  </si>
  <si>
    <t>C06</t>
  </si>
  <si>
    <t>C07</t>
  </si>
  <si>
    <t>C08</t>
  </si>
  <si>
    <t>C09</t>
  </si>
  <si>
    <t>C10</t>
  </si>
  <si>
    <t>C11</t>
  </si>
  <si>
    <t>C12</t>
  </si>
  <si>
    <t>C13</t>
  </si>
  <si>
    <t>C14</t>
  </si>
  <si>
    <t>C15</t>
  </si>
  <si>
    <t>C16</t>
  </si>
  <si>
    <t>C17</t>
  </si>
  <si>
    <t>C18</t>
  </si>
  <si>
    <t>C19</t>
  </si>
  <si>
    <t>C20</t>
  </si>
  <si>
    <t>C21</t>
  </si>
  <si>
    <t>C22</t>
  </si>
  <si>
    <t>D教育/传媒/电竞</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</si>
  <si>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</si>
  <si>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</si>
  <si>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</si>
  <si>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</si>
  <si>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</si>
  <si>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</si>
  <si>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</si>
  <si>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</si>
  <si>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</si>
  <si>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</si>
  <si>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</si>
  <si>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</si>
  <si>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</si>
  <si>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</si>
  <si>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</si>
  <si>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</si>
  <si>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</si>
  <si>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</si>
  <si>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</si>
  <si>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</si>
  <si>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</si>
  <si>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</si>
  <si>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</si>
  <si>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</si>
  <si>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</si>
  <si>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</si>
  <si>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上海瑞而思职业技能培训有限公司（上海奶叔健康科技集团有限公司）</t>
  </si>
  <si>
    <t>D27</t>
  </si>
  <si>
    <t>E城市运营与技术服务</t>
  </si>
  <si>
    <t>E01</t>
  </si>
  <si>
    <t>E02</t>
  </si>
  <si>
    <t>E03</t>
  </si>
  <si>
    <t>E04</t>
  </si>
  <si>
    <t>E05</t>
  </si>
  <si>
    <t>E06</t>
  </si>
  <si>
    <t>大金空调（上海）有限公司</t>
  </si>
  <si>
    <t>E07</t>
  </si>
  <si>
    <t>E08</t>
  </si>
  <si>
    <t>E09</t>
  </si>
  <si>
    <t>E10</t>
  </si>
  <si>
    <t>E11</t>
  </si>
  <si>
    <t>E12</t>
  </si>
  <si>
    <t>E13</t>
  </si>
  <si>
    <t>E14</t>
  </si>
  <si>
    <t>E15</t>
  </si>
  <si>
    <t>E16</t>
  </si>
  <si>
    <t>E17</t>
  </si>
  <si>
    <t>上海闵一保安服务有限公司</t>
  </si>
  <si>
    <t>E18</t>
  </si>
  <si>
    <t>E19</t>
  </si>
  <si>
    <t>F综合</t>
  </si>
  <si>
    <t>F01</t>
  </si>
  <si>
    <t>F02</t>
  </si>
  <si>
    <t>F03</t>
  </si>
  <si>
    <t>F04</t>
  </si>
  <si>
    <t>F05</t>
  </si>
  <si>
    <t>F06</t>
  </si>
  <si>
    <t>F07</t>
  </si>
  <si>
    <t>F08</t>
  </si>
  <si>
    <t>F09</t>
  </si>
  <si>
    <t>F10</t>
  </si>
  <si>
    <t>上海笛申文化发展有限公司</t>
  </si>
  <si>
    <t>F11</t>
  </si>
  <si>
    <t>岗位数</t>
  </si>
  <si>
    <t>企业简介长度</t>
  </si>
  <si>
    <t>岗位介绍长度</t>
  </si>
  <si>
    <t>简介最长</t>
  </si>
  <si>
    <t>介绍最长</t>
  </si>
  <si>
    <t>长度</t>
  </si>
  <si>
    <t>长度要求</t>
  </si>
  <si>
    <t>截取后内容</t>
  </si>
  <si>
    <t>上海光通信有限公司（英文名 Shanghai GTX Semiconductor Co., Ltd，下称“GTX”），成立于1988年，于2022年初转型进入集成电路制造领域。</t>
  </si>
  <si>
    <t xml:space="preserve">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
      新皋实业是上海闵行区就业促进中心审核认定的大学生实习基地，常年招收在校大学生实习实践，上海闵行地区户籍大学生或闵行地区高校学生优先录取，实习享受上海市闵行区人社局补贴。</t>
  </si>
  <si>
    <t>上海德辰汽车销售公司是北方一大型汽车经销商集团在上海新投资创立的
一汽大众奥迪品牌 4S 店。超越了传统豪华汽车 4S 店的概念，实际具备品牌体
验、车型展示、新车销售、售后服务、二手车置换等多种功能，完备的设施以
及周到的服务一应俱全，体现出国际豪华品牌全球统一的服务水准。 
 该城市展厅坐落于闵行区颛桥地区（颛兴东路 1280 弄 3 号）。地铁、轻轨
均可到达，交通便捷。地址：颛兴东路 1280 弄 3 号。总占地面积 11455 平方
米。上下共有三层，展厅面积 4168 平方米，销售展示分两层，有超过多个标准
汽车展位，大厅设有人性化的自动扶梯；屋顶设置顶楼停车厂，日接待能力超
过 100 台。简洁明快的建筑风格，落地玻璃和透明天窗的结合使整个展厅最大
限度地充满阳光和自然气息，充分体现了人性与科技的完美结合，展现奥迪品
牌的超凡卓越和豪华尊贵，修理车间面积 7287 平方米，共有多个汽车维修工
位，技术人员有 40 人，分为机修、电工、钣金、喷漆区，布局合理，设备先
进。突出强调“买车修车到德辰，诚信舒心更放心”的服务理念。也是每个德
辰员工的座右铭。我们以完善的硬件设施、周到的人性化服务迎接您的光临。 
背景介绍 
 上海德辰的股东旗下共拥有多家 4S 店，其中在长春、嘉兴、宁波销售一汽
奥迪、一汽马自达、一汽丰田等知名品牌汽车。 
企业文化 
 上海德辰奉行“务实、诚信、进取、激情、团队精神、服务意识”的企业
文化；在选人、用人、育人上：以具竞争力的薪酬吸引人才、以完善的培训体
系培养人才，以强烈的业绩导向、快速的晋升和广阔的发展空间开发人才。</t>
  </si>
  <si>
    <t xml:space="preserve">   西凌第一幼儿园是一所上海市示范性幼儿园、上海市文明单位。地处黄浦区西藏南路，园内幼儿活动场地充裕，环境优美，四季绿化常青，阳光充足，是“上海市花园单位”。我园积极探索围棋与游戏融合的探索，秉持“以人为本，民主和谐，快乐发展”办园宗旨和 “以棋养德、以棋怡情、以棋明理、以棋启智”的教育理念，深受幼儿与家长的喜欢。西凌第一幼儿园已成为孩子们游戏、学习、生活的乐园。</t>
  </si>
  <si>
    <t>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t>
  </si>
  <si>
    <t>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ERGREEN、NORASIA、PIL、HAPAGLIOYD、MSC、COSCO、CSCL、CMA、WANHAI、YANGMING、OOCL；主要合作的航空公司有联邦快递、联合包裹、美国航空、新加坡航空、加拿大航空、新西兰航空、马来西亚航空、以色列航空、法国航空、德国汉莎、奥地利航空、英航、国泰、阿联酋航空等。
我们诚邀你的加入，让我们共同致力于打造美好的明天！
我们公司全体员工满怀信心，愿以一流的服务、良好的信誉面向世界，竭诚希望与世界各国、全国各地的代理和货主建立良好的合作关系！</t>
  </si>
  <si>
    <t xml:space="preserve">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应商，点晴参与制作了刺客信条、王者荣耀、原神、绝地求生、阴阳师、第五人格、狐妖小红娘、蛋仔派对等国内外各类型最前沿的主流游戏，致力于为全球市场提供自主研发的高品质游戏娱乐产品。
公司旗下教育品牌【第九联盟】专注于CG行业人才储备及校企产学研项目;【GGAC数字艺术平台】集CG领域作品发布及赛事运营于一体。</t>
  </si>
  <si>
    <t>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 “高新技术企业”、“服务型制造示范”、“国家知识产权优势企业”、“上海专利示范企业”、“上海市企业技术中心”、“上海市著名商标”、“上海名牌产品”等众多荣誉。
        经过20多年的发展创新，产品及服务覆盖智慧ICT网络解决方案、数据中心解决方案、智慧能源解决方案、智慧移动通信解决方案、智慧建筑一体化解决方案、智慧城市一站式服务六大方向，产品广泛应用于通信、电力、新能源、交通、建筑、医疗等多个行业，实现了产品的多元化创新和商务模式向服务型制造升级。企业竞争力和市场地位不断提升，其中最新研发的智慧能源解决方案已应用市政、交通、教育、运营商等国内外多个行业，同时在国际市场中崭露锋芒。
公司发展历程：
2002-2004 公司成立，引进先进技术；
2005-2006 办公厂房落成，公司商标注册；
2007-2010 开发“光进铜退室外机柜”，中标中国电信；
2011-2012 “PLC分路器”开发成功，中标三大运营商，新建生产基地；
2013-2014 投建江苏100亩光器件产业园，成立汇珏智能软件公司，开发网优软件产品，填补国内空白，签约中国电信；
2015-2016集团信息化平台应用提升专业化管理。产品智能化升级，研发IODN等产品，推动智能化制造，连续中标国内三大运营商。
公司秉承“汇当凌珏顶，一览众山小”的企业精神，先后获得上海市“高新技术企业”，“上海市著名商标”，“科技小巨人企业（培育）”，“专精特新企业”，“创新型企业”，等荣誉，多个产品获得了“上海市高新技术成果转化项目”。</t>
  </si>
  <si>
    <t>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
公司自上世纪九十年代至今已先后设计和施工了影剧院、演剧场、文化馆等几百项文化设施项目及公共商业设施项目，取得了良好的社会信誉和业主好评。</t>
  </si>
  <si>
    <t>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
在公众物业管理领域，明华在上海乃至国内外具有影响力的主要项目如下：
公众展览场馆——中华艺术宫、上海科技馆、上海自然博物馆、上海历史博物馆等
公众演艺场馆——上海交响乐团、上海京剧院乐团、上海京剧院传习馆等
公众体育场馆——上海网球中心
公众交通枢纽——磁浮列车龙阳路站
公众绿地公园——上海辰山植物园、上海动物园
金 融 园 区——中国人寿保险数据中心
大学校园——上海交通大学、华东理工大学闵行校区
高端写字楼——航汇大厦</t>
  </si>
  <si>
    <t>予童家庭服务（BabyNanny），以“重塑美好育儿生态”为使命，专注为高净值家庭提供育婴照护、婴儿早教、孩童陪伴等服务。
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暖手、宝妈的得力助手、家庭的坚实帮手。</t>
  </si>
  <si>
    <t>中国电信股份有限公司上海莘闵电信局坐落于闵行区莘东路199号，简称莘闵电信局。前身为上海市电话局莘闵区局。2000年7月1日，中国电信集团上海市电信公司成立后，更名为上海市电信公司莘闵电信局； 2008年3月，更名为中国电信股份有限公司上海莘闵电信局。
中国电信股份有限公司上海莘闵电信局提供固定电话、移动通信、宽带互联网接入、互联网电视、卫星通信、信息化应用等泛在网络和综合智能信息服务能力，服务闵行区内各类客户，始终保持区域内通信市场的领先地位。莘闵电信局以党的建设统领企业发展全局，以改革创新为动力，加快推进"网络智能化、业务生态化和运营智慧化"，积极构建"五大业务"生态圈，努力做领先的综合智能信息服务运营商,为闵行区经济发展和网络强国建设做出更大贡献，助推闵行区信息化及经济高速增长。</t>
  </si>
  <si>
    <t>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游戏项目赛事组织执行工作。2021年公司成立直转播节目制作业务板块，完成了征途全民争霸赛总决赛暨年终盛典、三届永劫无间高校总决赛、剑网3竞技群英赛、DCDC 冠军联赛、实况足球世总赛、影之诗联赛、漫威争锋冠军杯、SCS年度总决赛、蛋仔派对高校总决赛、剑网3竞技大师赛等在内的上百个大型项目的直转播节目制作工作。
目前在上海拥有包括1个制播中心及5套演播棚在内的1500平专业节目制播场地以及一个技术中心、一个创意中心，专业服务于各类电竞赛事及泛娱乐节目制作。</t>
  </si>
  <si>
    <t xml:space="preserve">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近几年公司大力支持国家航天事业，已为“天宫一号”、“神舟五号”、“神州六号”、“神舟七号”、“神州八号”和“绕月探测工程”成功配套，获得了国家有关部门的多次嘉奖。</t>
  </si>
  <si>
    <t>上海特金创立于2003年，是国家级高新技术企业、国家级专精特新“小巨人”企业、上海市“专精特
新”企业，20余年深耕无线电感知和频谱大数据分析技术，致力于提供可信赖的低空安全管控解决方案，
在无人机预案、预警、识别、定位、追踪及处置方面处于业界领军地位，是国内将TDOA网格化无人机管控
技术进行产品化和大规模商用的发起者。 
特金拥有一百多项核心知识产权，深度参与国标、行标、团标的标准制定，荣获国际电联 ITU Telecom 
World全球最佳创新奖。特金无人机探测定位管制系统服务于建党百周年庆及70周年国庆首都核心区，杭州
亚运会、成都大运会、央视春晚等大型活动低空安全保障，被誉为“低空防御专家，家国和平卫士”。</t>
  </si>
  <si>
    <t>“和我们共创无限可能的未来”
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围绕和谐、创造和谐而奋斗！”作为企业口号既企业管理方针，维护社会、业主、企业三方利益。
我们的实力：
1）上海市物业管理协会副会长单位；
2）上海市物业服务综合百强企业排名第三
3）上海市物业管理数量领先企业、物业管理面积领先企业（住宅类、非居类、办公类、学校类）TOP10
4）进入（外）城市个数领先企业、营业收入领先企业、轨道交通收入领先企业、净利润领先企业、员工总数领先企业TOP10
5）上市公司的成员企业，从东北长春吉林到南部广东佛山，从西北内蒙古到东部上海都有我们科瑞的足迹
     你有梦想吗？即使面临现实的社会，残酷的生活，你想在此情形下继续维持梦想吗？你想在繁重的工作之余还有诗和远方吗？你想拥有自由的发展空间吗？加入我们，我们能提供你想要的，你梦想的，与科瑞共同创造未来。</t>
  </si>
  <si>
    <t xml:space="preserve">  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
   作为长三角文旅产业联盟会员单位、教育部职教工场项目白名单企业，图萌科技拥有计算机软件著作权登记证书、上海电影电视技术学会会员单位、上海高等职业学校校企合作联盟单位等资质，并具备AIGC课程研发与授课实战经验，以及上海多媒体行业产教融合专委会成员单位身份。取得高新科技企业、双软企业资质，并通过ISO9001质量管理体系认证，重合同守信用企业、科技型中小企业、专精特新企业资质。
   图萌科技提供面向AIGC+专业条件下的教育解决方案，基于图智AIGC教学资源平台和云端AIGC工具平台，落地人才培养方案、课程建设实施、实验实训建设、师资培训服务、教辅教材开发、赛事指导支持和职业证书认证等服务。</t>
  </si>
  <si>
    <t>上海积千理网络科技有限公司成立于 2019 年 9 月 23 日，是一家专注游戏直播领域的小微企业，公司位于上海市闵行区禾谷文创园A213号，目前处于开业状态。公司经营范围广泛，涵盖数字文化创意内容应用、互联网数据服务、个人互联网直播服务等。自成立以来，公司凭借专业的团队和创新的理念，在游戏直播领域崭露头角，致力于为观众呈现精彩的游戏直播内容，为游戏爱好者搭建互动交流平台，在竞争激烈的游戏直播市场中逐步站稳脚跟。</t>
  </si>
  <si>
    <t>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加行为医疗机构、科研机构提供全面的设备、设施整体解决方案。量身定制集成式、模块化的设备和设施，提供专业维护、保养服务，满足专业化、多元化的需求。
今天，加行已成为一家创新活力的现代企业。加行通过引入各类国际体系认证使得企业管理日益规范与成熟，被闵行区人力资源和社会保障局认定为区级大学生社会实践基地。而与此同时，对于企业诚信文化建设和团队建设的关注，赋予了缘硕前进所需的品格、力量与激情。</t>
  </si>
  <si>
    <t>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企业，具有强大的设计研发能力和工程经验,公司（含子公司）拥有包括博士、硕士、本科学历的相关专业人员100多人，大专以上学历员工占工厂总员工70%以上。
  目前，在电力液压系统设备领域，上海置道已发展为市场占有率稳居第一的行业领军企业，是同行业中唯一一家与国内主流大、中主机厂均有长期配套关系的公司，同时，已与三菱日立、艾默生等跨国公司建立了稳定的供货合作关系。四川德阳生产基地主要负责西南地区业务，并在乌鲁木齐设立了检修分公司，便于新疆地区电厂的设备检修及备件供应。
        顺应“中国制造2025”的步伐，置道公司将积极引进人才，努力引领行业先进技术，势将继续保持行业领先水平。</t>
  </si>
  <si>
    <t>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路，占地1万㎡，建筑面积12万㎡，12层全空调全玻璃幕墙立体展厅，集名车交易、汽车精品商城、维修保养中心、汽车文化生活、车管所、金融机构、高级会所为一体。
澳康达秉承“优质、实惠、尊贵”的服务理念，打造以消费者为中心的服务模式；给消费者不仅带来了名车海洋般的丰富选择，也让二手车消费更加时尚，更值得信赖。
澳康达摈弃了租赁经营方式，也不做单一的平台经营或中间服务商，而是深耕二手车行业，从售前、售中到售后的每一个环节，为客户提供全方位、精细化的尊贵服务、客户重复购买率超过60%。
作为行业创新先行者，澳康达不仅铸就了行业美誉度第一的实体二手车品牌，同时也搭建了多维度的互联网服务平台，将线下展厅与线上实现无缝对接，连接起全国各地的名车爱好者，远程享受澳康达优质服务。</t>
  </si>
  <si>
    <t>新致软件成立于1994年，总部坐落于上海，在北京、深圳、大连、重庆、成都、贵安、武汉、东京等多地设立了分支机构。新致软件专注于向保险公司、银行等金融机构及电信、汽车、医疗等其他行业终端客户提供IT解决方案、IT运维服务，以及向一级软件承包商提供软件项目分包服务。
上海新致致远智能公司致力于云计算、人工智能产品与解决方案。</t>
  </si>
  <si>
    <t>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技术研发中心、八院激光探测技术研发中心等优势科研平台，并与国内外多所高校、研究机构建立了联合实验室，科研实力、科研基础条件、科研成果处于国内领先，致力发展成为具有国际竞争力、科研生产智慧化的小型产业集团和国内领先、国际一流专业研究所。
现有职工1300余人，其中各类专业技术人才近900人，博士、硕士超700人，拥有国家百千万人才工程专家、政府特殊津贴专家、省部级学术技术带头人、高级工程师以上高层次技术人才350余人，先后承担数百项国家级、省部级重点科研项目研制和生产任务，荣获省部级以上科技成果200余项，拥有专利560余项。先后荣获全国五一劳动奖状、全国五四红旗团委、全国模范职工之家、上海市职工最满意企业称号、国资委深化人才发展体制机制改革示范企业，蝉联上海市、集团公司文明单位、上海市高新技术企业。
秉承弘扬“勤勉、专业、激情、包容”的企业文化，构建良好的工作环境、文化氛围，热诚欢迎广大优秀人才与我们并肩前行，携手共创祖国航天事业美好未来！</t>
  </si>
  <si>
    <t xml:space="preserve">    上海率震档案信息技术有限公司是一家专业为律师、律所、政法机关等提供现代化档案信息服务的科技型公司。现主营业务为档案软件开发，档案5A数字化建设、档案大规模扫描服务、文档追溯管理、档案图像识别、图像优化、档案寄存等。
     2024年3月1日，《中华人民共和国档案法实施条例》正式施行。相较于此前的《档案法实施办法》，本次施行的《中华人民共和国档案法实施条例》无论是条款数量还是具体内容都有较大变化，内容更加符合当下时代发展，反映时代特点，能够与1991年司法部、国家档案局颁布的《律师业务档案立卷归档办法》和《律师业务档案管理办法》紧密结合，为律师业务档案管理工作提供明确的法律依据和路线指导。
     上海率震档案信息技术有限公司公司秉承专业、可靠、高效的宗旨，为将律师及律师事务所从律师业务档案的繁重工作中彻底解放出来。现提供律师业务档案的整理、装订、数字化及保管等全流程的服务。</t>
  </si>
  <si>
    <t>博赫尔（POHIR）科技集团是一家全球智能化清洁清洗解决方案提供商和服
务商，POHIR博赫尔品牌起源于上个世纪90年代的德国，经过近20多年的发展
和不断创新，POHIR博赫尔在全球已覆盖了北美，欧洲，东南亚等全球50多个
国家或地区，并为全球30万+客户提供清洁清洗设备解决方案。
在欧洲，博赫尔（POHIR）分别在德国、法国等地设有2个仓储运营服务中
心和1个产品设计研发中心。在北美，博赫尔（POHIR）分别和本土巨头沃尔玛
Walmart和亚马逊AMAZON合作在纽约和洛杉矶、芝加哥等设有3个海外仓运营
服务中心。
在中国，博赫尔（POHIR）于2013年将总部设在中国上海，目前博赫尔（POHIR）
科技集团在国内设立了1家产业研究院、2家产品研发中心、4大产业园和制造
基地、600多家售后服务网点、5万㎡中心仓库。旗下运营公司拥有国家级专利
30+，并于2021年由上海市科学技术委员会、上海市财政局、国家税务总局上海
市分局联合认定为“高新技术企业”和“科技型企业”称号。目前公司的生产经
营品类也从高压清洗机逐步拓展到商用扫地机，商用洗地机，工业吸尘器，扫雪
机，疏通机，吹干机，抛光机，升降堆高设备，交通设备等，其主营产品在国内
头部电商平台（天猫、京东等）销量连续多年位居热销TOP水平。
博赫尔（POHIR）目前已经为家乐福，太太乐，新希望集团，中粮集团，国药集
团，万科物业，上海仁济医院，碧桂园，海底捞，伊利集团及大型国央企，政府
和军队提供产品和服务解决方案，建立了良好的合作关系。
博赫尔（POHIR）集团秉承成为全球清洁清洗设备专家的企业愿景，始终着
眼全球化视野，坚持务实，稳健，创新，环保的发展理念，且始终坚持客户至上，
用心服务的原则不断前进！</t>
  </si>
  <si>
    <t>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
公司主要业务：
一、“三化”工程业务
1.智能化工程及维保，含道闸、门禁、监控、LED 显示屏、远程智能控制系统、预付费电表系统、图像识别系统、自动监测系统等工程业务;
2.亮化工程及维保，城市及道路照明工程、建筑及市政景观亮化工程、厂区园区小区亮化工程等;
3.绿化工程及绿化养护，市政园林、城市道路、小区社区绿化工程等。
二、装饰装修业务
厂房、员工宿舍楼、小区住宅、写字楼、酒店等。
三、产品生产及购销
1. 灯具、配电柜、电器设备等；
2. 燃气智能井盖（泄露检测装置）；（浙江余慈，在嘉善）
3.树木、小苗、花卉等;（在崇明、余姚有公司苗木基地)</t>
  </si>
  <si>
    <t>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
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
项目地点遍及上海、北京、天津、南京、成都、西安、银川、无锡、南昌、合肥、马鞍山、蚌埠、芜湖、武汉、大同，以及美国旧金山等。项目内容包括高档住宅社区、高档酒店及旅游度假区、都市公园、郊野公园与市政广
场、旅游风景区及主题公园、开发区及高科技园区等。我们与许多地方政府以及发展商建立了良好的合作关系。在项目发展过程中，我们始终充分理解业主的需求与意图，并积极寻求业主的充分参与。
 MEKE Landscape undertake landscape projects from concept to construction stages . Our unique design practices and high - quality constructions make it become one of the best design 
 companies in China . MEKE focus on contemporary landscape design with the combination of western landscape and traditional Chinese gardening . We provide the clients a special conception with geographical characters in different sites 
 MEKE contain projects from superior residential communities , luxury resorts , urban parks and plazas , scenic spots , theme parks , economic and industrial communities . Our sites spread 
 throughout China and San Francisco . MEKE have made a good relationship with local council and Realestate Developer . We always pay full attention to clients ' needs and make them barticipate in the projects actively 
 MEKE believe in " Design makes better life " and carry through all the projects . Our great team makes great service for the clients with professional and responsible designers . We work in 
 collaboration on international and local projects , which are prospective . As a team , we also have consultants with extensive experience to help us produce creative design works</t>
  </si>
  <si>
    <t>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实现技术、市场与服务的国际化布局，为全球客户提供高端、可靠、持续进化的智能作业解决方案，成为赋能人类迈向智能新纪元的世界级科技企业。</t>
  </si>
  <si>
    <t>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多年的发展，上海三菱电梯有限公司安装维分公司已实现年度销售、安装电梯达 5000 多台，保养电梯 40000 多台的业绩。</t>
  </si>
  <si>
    <t>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车供应链的二级供应商，长期供货和服务的线束客户有矢崎、安波福、住友、李尔、德科斯米尔、古河、莱尼、科世科等世界汽车线束十强中的八强。线缆产品被广泛使用于：大众、宝马、奔驰、通用、福特、沃尔沃、丰田、本田、荣威、吉利、特斯拉、比亚迪、蔚小理等知名品牌汽车上。
公司大力开展汽车、储能和人工智能领域，打造多元化的产品。
公司是ISO国际汽车线缆标准委员会成员，近年来多次参与了新能源高压电缆、铝电缆、以太网电缆等一系列重要的国际汽车线缆标准的制订。</t>
  </si>
  <si>
    <t xml:space="preserve">       上海上勤高级楼宇管理有限公司，隶属于上海市机关事务管理局委托管理的国有独资企业，一直从事市人大和市政府等机关后勤服务保障工作。
       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效应，具有较高的认知度和美誉度。</t>
  </si>
  <si>
    <t>上海世界联合服装有限公司 隶属ICCF之禾卡纷集团。
ICCF之禾卡纷集团是着重于可持续发展的全业务连高端时尚集团，致力于为世界提供基于优质原料的环境友好时装。
集团旗下目前的主要业务板块，包含中国品牌ICICLE之禾，法国品牌CARVEN卡纷，时装制造中心以及物流中心，从原料采购、产品开发、制造、销售和消费者体验的全业务连视角，寻求品牌发展与环境、社会的和谐共生。
我们的团队年轻有活力，乐意带教新人。我们诚挚的欢迎阳光，积极，进取的你。
我们秉承集团追求天然，舒适，环保的理念，为员工提供良好的工作环境和氛围。</t>
  </si>
  <si>
    <t>闵行区吴泾第二幼儿园位于闵行区吴泾地区的黄浦江边，创办于1992年，是一所公办幼儿园，园所占地面积为3208平方米，建筑面积1237平方米。绿化面积948平方米。园训：博学之本 启蒙之所 办园理念：伴着幼儿健康幸福地成长 幼儿发展目标：习惯良好 好奇探究 文明乐群 勇敢自信 健康快乐。</t>
  </si>
  <si>
    <t>上海圆外物业集团有限公司于2004年2月经国家工商行政管理局批准成立，注册资金500万。公司目前管理的物业面积有400余万平方米,包括：高层住宅、多层住宅、别墅、商业物业、办公楼、工业厂房、学校等各类物业的管理与服务。
公司董事长李俊南先生，上海市闵行区政协常委，本科学历，工程师中级职称，专注物业管理服务15年，获得上海市物业管理行业协会首批物业管理专家、上海市物业行业协会优秀工作者、上海市房地局物业招投标评审专家、上海市物业管理超标准认证评审专家、上海市闵行区物业管理行业工会联合会工会主席等多种荣誉。
公司自成立以来注重服务管理和服务质量，有完整的运营管理机制和全新的经营理念，有团结向上的团队精神、积极向上的工作作风、良好的服务信誉以及高标准的经营服务道德规范。公司始终坚持忠诚、务实、团结、守信的管理理念，坚持奉行“打破惯性、挑战自我、不断创新”的质量方针，坚持贯彻为您竭尽所能的服务口号！脚踏实地抓管理，精益求精创品牌。
公司是上海市物业管理行业协会理事会理事单位。被上海市物业管理行业协会评为“上海市物业服务综合百强企业”以及“上海市物业服务综合能力四星级星级企业”。 闵行区房管局应急抢修单位。物业服务行诚信承诺AAA级单位。
公司设有八个部门：行政人事部、财务部、品质保障部、技术支持部、采购部、运营部、市场拓展部、公众事业部，拥有人数1000余人，具备专业经验的管理人才队伍和具备专业操作技能的服务队伍，能够为不同需求的业主提供细致、周到、规范和满意的服务。</t>
  </si>
  <si>
    <t>公牛集团股份有限公司创办于1995年，公司专注于以转换器、墙壁开关插座为核心的民用电工产品的研发、生产和销售，主要包括转换器（即延长线插座、移动式插座等）、 墙壁开关插座、LED照明、数码配件等电源连接和用电延伸性产品，广泛应用于家庭、办公等用电场合。目前，公司拥有观海卫工业园东区、工业园西区、古窑、龙山等多个制造基地，员工总数超过1万人，建立了近100万家网点的线下实体营销网络和专业的线上电商营销网络。</t>
  </si>
  <si>
    <t>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车租赁等产业，公司主要代理宾利、保时捷、捷豹路虎、阿斯顿马丁、宝马、奔驰、奥迪、林肯、英菲尼迪、凯迪拉克等多个国际知名豪华汽车品牌，服务网络主要分布在上海、北京、天津等3个直辖市和17个省的55个城市。率先在行业内形成学车、买车、卖车、租车、修车、验车等完整的汽车销售服务产业链，提供新车销售、汽车金融与保险、装潢用品、售后服务、平行进口汽车、二手车置换与销售、快修连锁、汽车零配件和养护品销售等服务，并通过互联网电商及新媒体平台，构建线上线下一体化全方位的汽车产业链生态圈，打造高效、便捷的汽车生活服务平台。
永达新能源集团
上海永达新能源汽车集团有限公司主要经营新能源汽车销售服务、新能源后市场服务及充换电等产业，公司主要代理小鹏、华为AITO、特斯拉、路特斯、SMART、上汽智己、福特新能源（野马）、欧拉、零跑等多个国内知名新势力新能源汽车品牌，服务网络持续扩大目前主要分布在上海、苏州、杭州、无锡、南京、丽水、常州、广州、南昌、合肥、绵阳等多个城市，运营规模及服务能力不断攀升。</t>
  </si>
  <si>
    <t>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
隶属于美国开利Carrier空调的ALC公司研发的WebCTRL系统是暖通自控BA行业最先进的系统之一，结合迪麦科公司多年的工程实践经验、强大的专业技术团队和大量数据中心案例，为各种类型数据中心用户提供设计完善、运行稳定、节能环保的BA系统的完整解决方案。
上海迪麦科能源科技有限公司是万国数据、数据港、世纪互联等定制数据中心服务提供商的长期合作伙伴，为工商银行、阿里、微软、腾讯、百度和各地电信公司在北京、上海、深圳、广州、河源、杭州、南通、廊坊等地众多数据中心和云服务设施提供了完善的BA系统建设和技术服务。</t>
  </si>
  <si>
    <t>闵行区吴泾第一幼儿园创办于1983年，目前拥有枫桦园（大班部）、剑川园（中班部）、永德园（托小班部）三个园区，1998年被评为上海市一级园，先后荣获上海市平安示范单位、区文明单位、区教育系统优秀教工之家、优秀教工小家等荣誉称号；是闵行区“见习教师规范化培训基地”、“保育见习基地”。
  幼儿园始终以办一所“幼儿喜欢、家长认可、社区满意”的家门口好幼儿园为目标，确立“以美润心，和谐发展”的办园理念，旨在发挥美育丰富精神、温润心灵的作用，让每个孩子发挥多元充分的艺术潜质，展现艺术创作的才能，感受丰富多彩的生活之美，培养“健康活泼、自信乐群、好奇探究、具有良好艺术素养”的儿童。</t>
  </si>
  <si>
    <t xml:space="preserve">       宋庆龄幼儿园是以国家名誉主席宋庆龄女士的名字命名，宋庆龄幼儿园座落于充满生机的赵巷绿色生活居住园区和虹桥经济开发区。是一所致力于推广优质早期教育的知名国际学校。宋庆龄幼儿园隶属于宋庆龄创办的中国福利会的事业单位，是国内外享有盛誉的上海市优质示范幼儿园。
       宋庆龄幼儿园坚持“在教育过程中尊重与要求和谐统一”的教育理念，以发展孩子个性，开发孩子潜能，促进孩子整体和谐发展为核心，努力为孩子提供丰富适宜的课程、温馨开放的环境与敬业优秀的教师，以促进孩子的健康发展。
       宋庆龄幼儿园的孩子来自于世界35个不同国家和地区，中外孩子与老师共同生活在这个爱的摇篮里，幼儿园也由此被大家亲切地称为“小小地球村”。作为“地球村”中的小公民，孩子们在这里学会理解、包容与分享，而这一切将为孩子一生的优秀打下重要的基础。
       上海宋庆龄学校是宋庆龄夫人创建的中国福利会全资兴办九年制学校。宋庆龄学校坐落于青浦区业辉路，校园整洁大方，学校继承了有20年历史的宋庆龄幼儿园的优良传统，是一所精英双语学校。学校学生中外混合，以中英双语教学为特色。
       宋庆龄幼儿园、宋庆龄学校秉承宋庆龄“把最宝贵的东西给予儿童”的教育思想，培养孩子宽阔的胸襟、活跃的思维、好学的态度、开阔的国际视野和文明的行为习惯。
       中国福利会为坚持衔接发展的模式，通过两所园校的联动发展，进一步开展“幼小衔接”和“小初衔接”的科研工作，探索幼儿园教育和学校教育的无缝隙整体衔接问题，促进孩子的和谐发展。</t>
  </si>
  <si>
    <t xml:space="preserve">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源和系统发展。
</t>
  </si>
  <si>
    <t>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小尺寸显示领域的领军企业。全球中小尺寸主流智能机市场占有率快速翻升，位居全球第三，国内第一。
未来的天马将以发展我国平板显示器产业为己任，努力将天马建成一个高技术、高效益、国际化的现代化大型企业集团,成为全球平板显示领域的领先企业。
上海中航光电子有限公司隶属于天马集团，由中国航空技术国际控股有限公司和中国航空技术深圳有限公司共同出资组建，于2009年12月11日在上海市闵行区莘庄工业区注册成立，总投资16亿元人民币，总占地面积约20万平方米。公司专业从事液晶显示屏及模块的设计、研发、制造、销售及售后服务。生产用于液晶显示器、笔记本电脑、液晶电视、数码影音、车载GPS、工控医疗产品等多种型号的显示屏及模块。
	文化氛围：在公司“激情、高效、共赢”核心价值观的引领下，天马人以热情、阳光的心态做事，以务实、高效的方式工作，尊重人、培养人，为有意愿、有能力的员工提供发展平台，激发员工的潜能、成就员工梦想，让每一个天马人都能快乐工作、幸福生活。</t>
  </si>
  <si>
    <t xml:space="preserve">       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t>
  </si>
  <si>
    <t>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先进集体、上海市文明单位等诸多荣誉称号。邓小平、江泽民、胡锦涛、习近平等党和国家领导人先后莅临企业视察，并予以高度评价。
企业以“发展航天事业、建设航天强国”为己任，在圆满完成各军品型号科研生产任务的同时，聚焦复合材料与智能制造两大方向，整合组建航天科瑞工业研究所及四大产业平台，加快推进产品孵化及产业化。
企业坚持发展具有宇航特色的先进制造技术，依托雄厚领先的核心技术，构建了“十大制造中心”，在大型构件精密数控加工、热表处理、特种焊接、系统集成总装总测、电装调试试验、复合材料加工、高端工艺装备研发等领域的技术能力处于国内领先地位。同时，企业努力发展具有自主知识产权产品的航天技术应用产业，拥有高水平的产品孵化及研发能力。企业建成5个国家级创新平台、25个省部级平台，拥有先进的工艺装备、国际一流的仪器设施，在火箭总装自动化对接装配、特种焊接、复合材料加工、热表处理、3D打印装备研发与工程运用等领域的技术能力处于国际或国内领先水平。
企业坚持以人为本，培育形成以行业高端人才为支撑的多层次人才梯队。企业本级从业人员1400余人，工程技术人员600余人，拥有硕士及以上高学历人员300余人，其中博士、博士后23人；享受国务院津贴6人，国家“万人计划”青年拔尖人才1人，上海领军人才1人，集团公司级专家11人次，省部级以上技术能手50人次。拥有一个国家级技能大师工作室。特聘院士2名担任企业高级技术顾问，建立了先进连接技术、航天制造技术、航天测试技术等方向的硕士研究生培养点。
伟大的事业，光荣的使命，我们热忱期盼您加入我们的队伍，愿我们携手共进，创人类航天文明，铸民族科技丰碑！
【需求专业】
电气工程、自动化、控制科学与工程、飞行器设计、机械电子工程、机械制造及其自动化、机械设计及理论、化工机械、动力工程、航空宇航制造工程、材料加工工程（电子封装、焊接、塑性成型、铆接）、计算机科学与技术、软件工程、信息与通信工程、表面工程等。
【薪酬福利】
单位提供全面、优厚的薪酬福利，包括：住房基金、一次性安置费、航天人才公寓、集体宿舍或租房补贴、交通补贴、公务出行补贴、通信补贴、就餐补贴、带薪休假、疗休养计划等；在国家规定五险一金之外，额外享有补充公积金、企业年金和补充医疗保险等。
博  士：年薪27-35万元以上，住房基金36万元；
硕  士：年薪20-25万元以上，住房基金18万元以上；
本  科：年薪12-15万元以上，住房基金12万元以上。
企业薪酬分配以绩效为依据，其中需求岗位中涉及电气、自动化、控制科学、计算机科学与技术、软件工程、信息与通信、电子封装、飞行器控制等紧缺专业的，起薪另增加2万元。通过项目绩效制、专项课题津贴等多种分配形式，实现员工收入与职业发展同步提升。具有工作经验的成熟人才，待遇从优，具体面议。</t>
  </si>
  <si>
    <t>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有128000平米的生产基地，是国内吸尘器、高压清洗机大型生产制造基地之一，拥有200余项技术专利。公司曾先后获得上海市科技小巨人企业、上海专利工作先进单位、高新技术企业、专·精·特·新、嘉善独角兽企业等多项荣誉称号。
亿力电器坚守实体经济，重视人才，坚持自主创新发展之路，将在清洁领域持续发力，研发更多科技产品，不断满足全球消费者追求清洁，追求美好生活的向往。</t>
  </si>
  <si>
    <t xml:space="preserve">    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
    多年来始终跟踪国外固体发动机技术的发展，注重技术创新，取得了多项填补国内空白的创新技术成果。在科研基础设施配套、技术研究领域、创新体制建立等方面取得重大突破，获得丰硕成果。现有从业人员900余人，拥有各类专业技术人员500余人，形成了一支高素质的设计、工艺、质量、生产人才队伍，拥有较强的设计开发和加工制造能力，先后获得国家级发明奖、科技进步奖和重要成果奖等160余项。目前已形成了人才层次高、研发能力强、技术手段先进、质保体系有效和管理科学高效的良性运行态势，为国防现代化建设和航天事业发展做出了重要贡献。
    我所把人才视作单位的第一资源，倡导事业留人、感情留人、待遇留人。为员工创造了良好的工作环境，规划了员工职业发展通道；同时为员工创造了良好的工作氛围，关心员工的生活、情感与家庭，创造了团结互助的风气。希望通过全所员工的努力拼搏，不断提升动力所的效益，提高员工的待遇，使全体员工共同享受体面的单位、体面的工作、体面的生活。</t>
  </si>
  <si>
    <t>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务院政府特殊津贴专家43人，现有上海市领军人才4人，各级学术技术带头人、后备专家147人，高级职称548人，博士、硕士900余人。
八〇四所是从事制导雷达、空间遥感载荷、测控通信、综合电子等分系统及各类电子产品研发、制造和系统集成的专业技术研究所，产品覆盖弹、箭、星、船、器各领域，集研发、设计、生产、试验、服务于一体，是航天高新技术开发、研究、应用的重要单位。
八〇四所秉承“融合、进取、创新、卓越”的文化理念，不断深化“企业化、市场化、产业化、国际化”转型，努力打造国内一流航天电子小产业集团，跻身国际同类企业先进水平，实现企业和人的全面发展。我们热忱欢迎有志青年的加入，共创航天事业新的辉煌。</t>
  </si>
  <si>
    <t>菁茼（上海）教育科技有限公司｜致年轻伙伴的一封信
嘿，未来的“电竞筑梦人”：
我们是菁茼（上海）教育科技——一群深耕电竞产业的“玩家”，也是一群想为年轻人搭舞台的“造梦者”。
如果你问我们是谁？
我们是​​电竞教育领域的“实战派”​​：和20+高校深度合作，把课堂搬到真实赛场，带学生边学赛事策划、电竞运营，边参与千万级流量赛事执行；从游戏解说到数据分析师，我们用产业需求定义“人才标准”。
我们是​​电竞赛事的“操盘手”​​：从城市商圈的小型擂台到跨区域顶级联赛，我们让电竞赛事不止于“打游戏”——它可以是文旅地标的热闹夜市，可以是品牌联名的潮流派对，甚至能为公益发声。
我们是​​电竞商业的“造景师”​​：在多地打造“电竞+潮玩+直播”的沉浸式综合体，年轻人来这里看比赛、买周边、交朋友，企业来这里找灵感、做活动。未来3年，我们要把这种“电竞版城市客厅”复制到全国——而你，可能是第一个参与设计它的人。
在菁茼，没有“论资排辈”的规矩，只有“敢想敢拼”的伙伴。我们的团队平均年龄不到28岁，因为我们都相信：​​电竞的未来，该由年轻人自己定义​​。
为什么选择我们？
​​*不是“打杂岗”，是“核心战位”​​：你的每一项工作都直接关联“人才培养结果”——你推广的高校越多，学电竞的孩子越有机会；你招的生越精准，未来产业人才缺口越小；你执行的越到位，学员的就业口碑越好。
* ​​资源和人脉“直接拉满”​​：我们有20+高校合作资源、职业选手/企业高管组成的导师团——你不仅能快速积累行业经验，还能直接和“大佬”学实战技巧。
* ​​团队氛围“像电竞一样燃”​​：团队平均年龄28岁，没有职场套路，只有“一起拼”的热血。
*​​成长速度“远超想象”​​：从执行到独立负责高校项目，最快6个月；从“招生新手”到“区域推广负责人”，1年就能独当一面；表现优秀的你，还能参与创业扶持基金项目，用你的创意孵化新的电竞教育产品。
我们在找这样的你：
▫️ 热爱电竞（不一定是顶级玩家，但要懂行业逻辑）；
▫️ 擅长沟通（能和学生打成一片，也能和高校老师高效对接）；
▫️ 爱折腾（不怕跑校园、不怕做方案，能把“不可能”变成“我能行”）；
▫️ 有目标感（想在这个岗位深耕，和公司一起成长为电竞教育领域的“标杆者”）。
加入我们，你将获得：
✨ 直接参与“电竞教育落地全流程”的实战机会；
✨ 行业导师+高校对接人的1对1带教；
✨ 高额项目奖金+季度评优奖励；
✨ 和一群“懂电竞、爱教育”的伙伴，做一件“既酷又有意义”的事。
​​这不是“打工”，是“一起造未来”——​​
你在高校里每一次宣讲，都可能改变一个学生的职业选择；你执行的每一场活动，都可能为电竞产业输送一个“能用”的人才；你成长的每一步，都在见证中国电竞教育的从0到1。
现在，我们需要你！</t>
  </si>
  <si>
    <t>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自成立以来，游匠始终站在电竞行业的最前沿，依托强大的技术支撑和丰富的平台资源，构建涵盖内容创作、形象塑造到粉丝运营的完整孵化体系，全方位助力达人与员工成长，让每个成员都能绽放光芒。
在这里，我们坚信“内容为王，人才为本”。因此，我们不仅注重内容的创新与多元化，更重视每一位员工的潜力与创造力。我们帮助达人拓宽影响力边界，实现商业价值，达人帮助我们实现个人价值的双重飞跃。
自成立以来，游匠已与多家顶级平台达成战略合作，屡获行业重磅奖项。作为连接达人和平台的桥梁，我们始终以用户为核心，优化观看体验，构建积极向上的社区生态。我们鼓励正能量传播，倡导健康文化，让每一天工作都成为传递快乐、分享生活的美好时刻。
展望未来，游匠将持续探索行业的无限可能，携手有志之士共创直播传媒新纪元。无论你是渴望突破的主播、寻求合作的伙伴，亦或是怀揣梦想的才华之人，游匠都是你值得信赖的舞台。让我们在这里相遇，共同书写电竞传媒的精彩篇章！</t>
  </si>
  <si>
    <t>鑫都幼儿园成立于 2010 年 9 月，隶属于闵行区教育局，是一所公办幼儿园。园所位于莘庄工业区新源路 2760 号，占地面积达 11000 平方米，是闵行区单体规模最大的幼儿园之一。​
我们以 “让每一个孩子都闪亮，让每一位教工都成长” 为办园理念，致力于为孩子打造 “金色童年、金色梦想、金色乐园” 的成长环境；以 “绿色环保” 为办园特色，通过丰富的亲自然活动启蒙孩子环保意识与习惯。开园至今，园所收获多项荣誉，包括 “联合国教科文组织中国可持续发展教育（ESD）项目实验学校”“航天特色学校”“上海市安全文明校园”“上海市家庭教育示范校” 等，是家长信赖、孩子喜爱的优质园所。​
现面向学校招聘保育员 / 育婴师的定向实习生，期待与热爱幼儿教育、渴望成长的你同行，具体信息如下：​
一、我们提供​
1.专属师徒带教：安排经验丰富的资深生活老师作为专属师傅，一对一指导，帮你快速熟悉幼儿园一日作息流程，轻松上手工作。​
2.实战学习机会：深度参与核心工作，包括协助组织幼儿活动与启蒙支持、维护班级环境与执行卫生消毒、学习安全管理与应急配合方法，积累真实工作经验。​
3.优质发展平台：作为公办幼儿园，我们重视教职员工的成长，实习生表现优秀者，未来可优先成为幼儿园正式生活老师，开启稳定职业发展之路。​
二、我们期待你​
1.热爱幼儿教育事业，有耐心、有爱心，愿意陪伴孩子成长；​
2.学习能力强，能快速接受新知识、新技能，积极配合师傅完成学习与工作任务；​
3.未来有明确意愿加入幼儿园，成为一名专业生活老师。​</t>
  </si>
  <si>
    <t xml:space="preserve">      上海市闵行区七宝皇都幼儿园成立于2020年9月，是一所全日制公办幼儿园，由闵行区教育局、七宝镇政府委托闵行区启英幼儿园进行全面管理。幼儿园园长韩秀华是上海市特级教师、上海市正高级教师、同时还兼任启英幼儿园书记和园长。
      幼儿园秉持“享自主生活  筑成长乐都”的办园理念，回归“幼儿园一日生活皆课程”的教育本源，倡导每位教职工走进幼儿心灵，追随幼儿需要，尊重幼儿行为，释放幼儿天性，努力让每一位幼儿快乐生活、健康成长；让每一位家长快乐陪伴、科学育儿；让每一位教工快乐工作、个性发展，将幼儿园筑造成幼儿喜欢、教工热爱、家长放心、社会满意的快乐“皇都”。</t>
  </si>
  <si>
    <t>果栗智造(上海)技术股份有限公司成立于2015年，拥有实力雄厚的研发中心和制造中心，专注于磁悬浮驱动传输技术的研发与创新，是行业领先的智能柔性传输系统解决方案供应商。
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服务。
公司通过CE、ROHS等产品安全和环保认证，获得IS09001等质量管理体系认证，2018年被上海市政府认定为“高新技术企业"，2022年被评为上海市"专精特新"企业，2023年被认定为上海市科技小巨人培育企业、上海市企事业"专利工作试点单位"，2024年被评为上海市重点服务独角兽(潜力)企业、国家级专精特新“小巨人"企业荣誉称号。</t>
  </si>
  <si>
    <t xml:space="preserve">      上海市闵行区爱博果果幼儿园（简称“果园”）是一所直属于闵行区教育局的全日制公办幼儿园，上海市示范性幼儿园。自2013年9月开办以来，果园始终紧随学前教育改革步伐，追寻“在自然的果园里赋予儿童生长的力量”美好样态，在“多彩果园 本然生长”的办园理念引领下，打造自然生态、互动多元的游戏场域，构建“阅生活”“阅社会”“阅自然”的课程，并努力探寻数智技术与幼儿培育场景的融合创新，丰富孩子的童年经历，触发并支持儿童有意义的学习。</t>
  </si>
  <si>
    <t>上海市闵行区中福会浦江幼儿园是一所闵行区公办幼儿园。中福会浦江幼儿园秉承宋庆龄女士“ 把最宝贵的东西给予儿童 ”的教学方针，积极探索，从人与社会、自我、自然三个维度出发，以“关爱心、自由性、文化情”核心素养为基础，创设安全、多元、丰富，且具有挑战意义的真实情境，培养有爱心、善交往、愿接纳、能适应、乐生活、享自主、会学习、喜探索、勇挑战的儿童，为终身发展奠基。</t>
  </si>
  <si>
    <t>上海沣奕建设咨询有限公司成立于2019年6月，注册资金：1000万元，办公地址：闵行区虹梅南路1789弄9号楼605室。公司已获得“国家高新技术企业”、“闵行区创新型中小企业”、“上海市和谐劳动关系达标企业”等称号，以及健全的ISO三体系认证AAA级企业。公司崇尚严谨、务实、创新，追求专业、高效；已与上海多家知名造价及会计师事务所、资产评估企业都有合作交流，并与知名设计院、监理合作开展全过程工程咨询服务。
业务内容：工程咨询、造价咨询、招标代理、工程项目管理、全过程工程咨询。
发展目标：扎根梅陇、立足闵行、面向全国。
服务宗旨：客户至上、严谨务实、精诚协作。</t>
  </si>
  <si>
    <t>软通动力信息技术（集团）股份有限公司（以下简称“软通动力”）是中国领先的软件与信息技术服务商，致力于成为具有全球影响力的数字技术服务领导企业，企业数字化转型可信赖合作伙伴。2005年，公司成立于北京，立足中国，服务全球市场。目前，公司在全球40余个城市设有近百个分支机构，构建完善的全球“营销和交付”服务网络，员工近90000人。
秉承用数字技术提升客户价值的使命，软通动力长期提供数字化创新业务服务、通用技术服务和数字化运营服务，其中数字化创新业务服务包括数字咨询服务、数字技术服务和数字解决方案；凭借深厚的行业积累，公司在10余个重要行业服务超过1100家国内外客户，其中超过230家客户为世界500强或中国500强企业。
软通动力注重创新和可持续发展。公司已建设30个能力中心，拥有1个国家级工程实验室，6个省市政府认定的工程、技术实验室及研发中心，1个博士后科研工作站，50+技术合作伙伴的生态合作体系，利用多种形式鼓励研发创新，不断探索前沿技术的巨大商业应用潜力。软通动力依托自身的教育平台，开展校企合作、协同育人，为公司长期发展培养人才。
软通动力先后获得“2022 中国软件和信息技术服务竞争力百强企业”、“2022数字服务领军企业Top 10”、“2023年中国信创企业100强”、“2022年中国IT服务市场排名Top 2”、 “2023深交所国证ESG评级AA级”、“2023万得ESG评级（Wind ESG Rating）AA级及信息技术服务行业ESG综合得分排名第一”等荣誉及认可，连续多年被授予“中国软件和信息服务业突出贡献奖”、“Global Outsourcing 100 list Leader Size Group”等荣誉，并拥有全球软件工程领域最高级别CMMI V2.0成熟度5级评估认证、国家研发运营一体化（DevOps）三级能力成熟度模型认证、信息技术服务标准（ITSS）运维能力成熟度一级认证等专业资质，支撑公司更优质的服务体系。</t>
  </si>
  <si>
    <t>华东师范大学附属紫竹幼儿园开园于2011年11月，是由华东师范大学、闵行区人民政府和紫竹科技园区三方鼎立打造的一所公办幼儿园，直属于闵行教育局。幼儿园地处紫竹国家高新技术产业开发区，紧靠华师大闵行校区，并与华师大紫竹附小和二附中组成了闵行紫竹基础教育园区。幼儿园紧紧围绕“ECNU”的办学理念(探索、创造、自然、无处不在的学习)，依托闵行区教育局、吴泾镇人民政府和紫竹国家高新区的大力支持以及华东师大的丰富专家资源，秉持以科研促教学，以教学促发展的办园思路，发扬开放多元、融汇百家的海派文化精神，正努力发展成为一所具有国际化、个性化、人本化管理及保教理念的高品质幼儿园。
2017年6月，幼儿园通过上海市闵行区教育评估所等级验收，被评为上海市一级幼儿园；2019年10月被评为上海市示范性家长学校；2020年6月被评为上海自然博物馆馆校合作示范校。目前，办园规模25个班级，共占地13320平方米，有教职工102名，拥有一支具有学前教育专业水平的研究型教师队伍，其中硕士12人，硕士在读2人，整支教师队伍年轻但专业度高。</t>
  </si>
  <si>
    <t>上海衡事欣冷暖设备公司从事数字暖通、建筑节能机电行业22年，在专业领域内，是一家集投资、设计、采购、施工、运营的整体化落地解决方案的专业服务商，有能力为用户提供软硬件一体化的全生命周期服务。
公司现有：总承包贰级、市政总承包贰级、机电贰级、环保贰级、古建筑贰级、钢结构贰级、特种设备B级（锅炉）安装，修理，改造
集中空调系统：维护、保养、消毒许可证等多项专业资质。</t>
  </si>
  <si>
    <t>闵行区虹鹿幼儿园是一所隶属闵行区教育局和虹桥镇政府管理的公办全日制幼儿园，创办于1999年3 月，2004年争创为上海市一级幼儿园，2008年争创为闵行区第一所区级示范园，2010年争创为上海市示范性幼儿园。我园现有虹鹿园与井亭园两个园所，占地面积共8365平方米。    
       十八年来，在全体教职工的共同努力下，幼儿园成绩斐然。先后被评为上海示范性幼儿园、上海市托幼机构保育工作先进集体、上海市平安单位、上海市巾帼文明岗、上海市三八红旗集体、闵行区优秀家长学校、幼儿园办学水平督导评估为年A等一级、党支部被评为五好基层党组织称号等。虹鹿幼儿园还承担了闵行区特色课程基地、闵行区园长培训基地、区后备干部培养基地、区幼儿园骨干教师基地、区对口联动带教项目基地、区见习教师规范化培训基地及沪川幼儿园的指导。</t>
  </si>
  <si>
    <t xml:space="preserve">       朴维科技成立于2011年，国家高新技术企业。
       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取样、分析、添加工作，节省人工，降低生产成本，提升品质；并且实现工艺过程管控系统与客户MES系统，品质系统，ERP系统的对接，为制造业向智慧型工厂迈进提供技术支持。
      过程控制的关键技术药水浓度在线分析一直被欧美日等西方国家掌握！
      朴维科技从自动分析加药设备起步，与国内外知名化学药水厂商合作，替代国外进口的自动加药设备，赢得了市场客户的认可和信任，化学镍自动分析添加设备成为这个细分市场的行业领先者。在此基础上，朴维科技加大研发投入，不断向过程分析控制的核心技术前进。在2015年开始立项开发在线滴定分析仪，先后在铝氧化、PCB线路板、涂装前处理、芯片封装、电镀等行业得到广泛应用。朴维科技还在不断研发，推陈出新，先后在国内市场上率先推出在线XRF分析仪解决在线镀金、银、铜、钯、铑等贵金属浓度的问题；在线比色分析仪解决铜、镍、钯、三价铁等金属离子浓度分析难题。
       朴维科技不仅开发了各类在线分析仪器解决制造业药水浓度的在线分析及自动控制的问题，还在不断的创新，成功研发了多通道自动取样技术，多工艺自动分析工作站，降低用户的设备投入成本，使得越来越来多的制造企业向智能化升级。朴维科技工艺智能控制软件系统立志赶超国外竞争对手。
       朴维科技同时注重市场应用的开发！公司通过几年的努力开拓， 已打开了PCB线路板市场，目前已可实现98%以上工艺槽药水的在线分析，中国PCB百强企业已有70多家企业采用朴维科技在在线分析或自动加药产品。另外，在电子行业，先后进入富士康，得意、莫仕、泰科、中航光电洛阳158厂、中国电科技集团下属38所，43所，50所、55所等单位。家电、汽车、3C行业的众多客户也在采用朴维科技在线分析仪及自动加药设备用于涂装前处理的工艺管控。朴维科技不仅在传统制造业打开市场，也赢得了芯片封测行业行业的订单。除了继续开拓中国国内市场，朴维科技还将产品推到东南业，欧洲、北美墨西哥等市场。
       通过十年的努力，朴维科技已成为国内在线分析及自动加药系统的领军者，将工艺过程分析及管控这个细分市场从零开始逐步开发出来。朴维科技的产品和服务不仅获得了各个行业知名客户的认可，朴维科技在线分析和自动加药系统在整个市场的销售业绩已逐步赶超国外企业 。同时，朴维科技的努力也获得了一些荣誉和鼓励！ 2018年闵行区创新大赛立项单位；2019年获高新技术企业证书；2019年上海市创新大赛立项单位；2020年“创客中国”上海市高端智能装备赛道一等奖，上海市总决赛优胜奖。
   </t>
  </si>
  <si>
    <t xml:space="preserve">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等研发、生产用的无血清培养基；我们的服务提供从基因序列到药物最终制剂，主要为生物药品研发公司提供从细胞株（库）建立、细胞培养工艺开发、目的产品的分离纯化，中间品及终产品的测试及方法开发、包括GMP生产到国内外产品注册申报的全套服务。
    瞄准未来，汉尼细胞仍将坚持不懈的为中国生物医药产业事业的发展贡献力量，为全球先进资源的引进搭建坚实的桥梁，为中国生物医药领域生产提供专业方案，研发生产高标准产品，我们坚持：因为专注所以专业，因为专业所以卓越。
    现因公司经营业务的扩大和发展，需招聘相关岗位的优秀人才，欢迎有志者加盟汉尼细胞，公司将为您提供良好的职业发展机会，以及良好的福利待遇：五险一金、带薪年假、免费工作中餐、周末双休、公司旅游、节日福利等等。</t>
  </si>
  <si>
    <t xml:space="preserve">   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
   公司建成了华东地区最大的复合材料生产和研发基地之一，公司在发展过程中逐步形成了具有自身特色的复合材料研制、生产、试验、检测能力，被上海市定位为“上海航天树脂基复合材料工程技术研究中心”。目前，在复合材料技术及工程化应用开发方面居于国内领先水平，配备了各类先进的数字化生产设备，形成了制造大型复合材料零部件及系统集成的生产制造能力，可为上海市乃至全国航空航天、轨道交通、汽车工业以及海洋工程等行业提供成熟、配套的工程化服务。
   公司地处上海闵行区浦江镇工业园区，拥有标准工业厂房和配套的基础设施。公司瞄准国际复合材料前沿技术，运用先进的管理机制，力求推出适合市场需求的、具有高附加值高性能的复合材料产品，发展空间十分广阔。
</t>
  </si>
  <si>
    <t>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大学生“1+3+5”培养体系、技术管理序列Y型职业发展通道、青年骨干储备培养、专业任职资质培训、在职硕士培养。
福利：
除五险一金外，增加补充住房公积金、补充养老金、补充医疗保障；并提供职工宿舍、购房无息贷款、优秀员工上海市户籍办理（人才引进）、交通住宿补贴、高温津贴、工作午餐、定期体检、节日礼包、探亲假、生日蛋糕、电影券、体育活动等。</t>
  </si>
  <si>
    <t>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领域客户的认可。</t>
  </si>
  <si>
    <t>上海新进芯微电子有限公司隶属于美国Diodes 公司，成立于2007年年底，坐落于上海紫竹科学园区，公司现有全职员工600余人，其中从事设计和工程的技术团队为300余人。
公司拥有6英寸以及8英寸晶圆制造净化厂房，可以为系统客户提供采用先进的模拟IC设计和研发、以及利用高阶的生产工艺（如Bipolar、CMOS、BiCDMOS 、TVS和SKY等）所制造的多元化高效能半导体产品，并且通过了ISO9001/2000、ISO14001、OHSAS180001及IATF16949质量系统认证，并获得了日本索尼的绿色伙伴证书。</t>
  </si>
  <si>
    <t>挪亚检测认证集团(NOA|挪亚)成立于1999年，是一家独立、公正及专业的综合性检验、检测、认证以及研究研发和品质保障服务机构，集团总部位于中国上海。NOA|挪亚是中国最早从事检验、检测及认证的第三方服务机构之一。
NOA|挪亚已获得中国国家认证认可监督管理委员会（CNCA）批准（CNCA-R-2002-51）和中国计量认证(CMA)的资质评定，并且已通过中国合格评定国家认可委员会（CNAS）及美国国家标准协会-美国质量学会认证机构认可委员会（ANAB）、英国皇家认可委员会（UKAS）、澳大利亚和新西兰联合认可体系（JAS-ANZ）、美国国际认可服务(IAS)的多重认可，并获得QC080000有害物质过程管理体系认证IECQ的认可资格，是上海市高新技术企业。
NOA|挪亚拥有5个全资检测、认证、检验(监理)公司，2个控股中外合资检验认证机构，1个欧洲(荷兰)综合认证机构，9大综合事业部，13个国内分支机构，近30000平方米的中央检测实验室，1450名员工。
NOA|挪亚作为一家独立的第三方检验、检测、认证及研发机构，服务能力覆盖石油化工、海洋工程、电力工程、矿山港口设备、通用设备制造、轨道交通、电子电器、日化产品、生物医药以及多个消费品领域；服务范围包括体系认证、服务认证、产品认证、第三方检验、设备监造、工程项目管理、新能源检测、计量校准、消费品检测、材料检测、环境检测、人体功效实验以及医药研发、检测分析等。NOA|挪亚拥有综合研发中心，服务于产品的成分研究、生产工艺优化与创新研发。同时，在荷兰、法国、土耳其、俄罗斯、哈萨克斯坦、越南、约旦以及塞尔维亚等“一带一路”沿线国家，NOA|挪亚为科研合作、进出口贸易、电力工程、海洋工程、石油化工等诸多领域提供检测、检验、工程项目管理及研发等其他技术服务。
NOA|挪亚始终秉持原则与坚持，围绕矢志打造百年挪亚的目标，以负责任的态度可持续发展，严格履行社会责任，立志为客户和消费者提供最优质的品质保障服务。</t>
  </si>
  <si>
    <t>上海南华兰陵电气有限公司 是上海电气旗下的中外合资企业，是 一家 专业生产输配电 用和新能源用高 、低压成套开关设备 及预装 式变电站 的高新技术企业。具有 建委建筑业二级总承包资质，具有电监委电力设施承装三级、承修二级、承试二级资质，具备管线工程水平定向钻施工三级能力 。
主导 产品已涵盖高压、低压、箱变、真空断路器 、电子元件五 大系列数十个品种 与西门子、 ABB 、施耐德等 国际知名公司 长期 合作 产品和 服务 。
公司 注重产品质量和技术创新，拥有从美国、德国、日本引进的具有当代 国际先进水平的电脑数控全套生产设备和行业内领先的开关柜自动生产流水线 ，坚持走高新化、智能化、小型化、成套化的创新之路 。
公司地址：上海市闵行区马桥镇曙光路1515号
邮箱：zhangr@nhll.com.cn</t>
  </si>
  <si>
    <t>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植根业界15载，我们的服务网络现已遍布全球106个国家599个城市。护航民族品牌走向世界，助力中外文化交流共鉴共存，做中国与世界文化、贸易沟通交流的桥梁，是欧马腾不变的使命和追求。
业务板块：展览展示、活动管理、品牌文化馆
品牌历程
1.0 时期，欧马腾致力于全球展览设计搭建服务，服务网络遍布全球106个国家599个城市。
2.0 时期，欧马腾会展打造全球会展策划运营一站式服务，为企业和品牌制定的营销方案。
3.0 时期，通过全球展览、体验营销、会议会务、主题盛典、厅馆建设，欧马腾重塑展示、体验、运营、推广四位一体新展览之道。
4.0 时期，欧马腾已是业界知名大数据时代的会展科技运营专家。
企业文化
我们的使命：成为全球第一的智慧会展平台
我们的愿景：展通天下
我们的价值观：坚守承诺 合作共赢
我们的企训：厚德载物</t>
  </si>
  <si>
    <t>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电机、电控、电池包、智能网关、智能座舱、自动辅助驾驶系统等核心技术的独立研发体系。蔚来在北京、圣何塞、慕尼黑以及伦敦等地设立了研发与生产机构，并建设了完备的销售服务体系，覆盖全国299个城市的用户。 
蔚来成立至今吸引了包括腾讯、百度、淡马锡等几十家全球知名企业和投资机构，并于2018年9月12日在美国纽交所（“NYSE”）上市。 
蔚来先后于2018年、2019年推出了两款定位于中高端市场的电动SUV，智能电动旗舰SUV ES8和智能电动全能SUV ES6，并在2019年12月正式发布了智能电动轿跑SUV EC6。三款产品都是基于蔚来自主研发的第一代高性能电动整车平台NIO Platform 1.0 （NP1.0）打造。首款量产车ES8于2018年6月28日正式向公众交付，第二款量产车ES6也于2019年6月18日开始交付， EC6预计将在2020年7月公布价格和配置，9月开启交付。 
自2018年6月开始交付以来截至今年2月底，两款车型已累计交付34,218台，平均单车售价40万以上，在市场上获得了极高的口碑。根据中汽中心上险数统计，ES6自2019年10月起连续四个月拿下纯电动SUV市场销量冠军，并作为唯一入榜的中国品牌车型及纯电动SUV，自2019年8月起连续六个月进入豪华中型SUV细分市场前十。蔚来不但是榜单中最年轻的企业，也是唯一的中国企业，以出色的表现成为中国品牌突破向上的代表，创造了中国汽车工业的历史。 
不同于传统商业模式，蔚来采用App线上订购的直销模式，坚持“以用户为中心”的初衷，围绕NIO House、NIO Space、NIO Power、NIO Service，结合蔚来线上和线下活动，将车辆售前、售中和售后全价值链打通，从而为用户提供更加高效、优质的产品和服务，创造前所未有的愉悦购车、用车体验。NIO App作为用户体验和服务的统一接口，其鼓励用户分享的社区属性也极大地增强了蔚来与用户的粘性</t>
  </si>
  <si>
    <t>日本丸菱集团发源于日本熊本县，专业从事烘焙行业70余年，在日本市场拥有极高的知名度，目前业务范围自东亚向东南亚延伸，覆盖中国，韩国，马来西亚，越南。
上海丸菱贸易有限公司是日本丸菱集团旗下的全资子公司，是一家集原料供应，机械销售与前后期技术支持于一体的食品综合企划公司。
公司最新办公地点：闵行区园美路109号（大零号湾健康云城）</t>
  </si>
  <si>
    <t>上海三枪（集团）有限公司简介
三枪品牌历史介绍：
上海三枪（集团）有限公司是东方国际旗下龙头股份下属的一家以发扬民族品牌“三枪”为核心优势的“老字号”品牌企业，公司集面料研发、针织生产、染整加工、面料测试能力、品牌销售于一体。
上海三枪（集团）有限公司的母体企业是上海针织九厂，上海针织九厂的前身为莹荫针织厂，创建于1928年，董事长王衍庆、经理干庭辉。
1936年，干庭辉在射击比赛中第三次夺冠，1937年注册了“三枪”商标。1937年抗战爆发，“三枪”品牌也寓意“提倡使用国货，抵制日货”的含义，“三枪”品牌在上海及华东地区畅销。因此，“三枪”品牌从诞生之日起，便饱含着民族之情和爱国之心，具有“爱国”、“争第一”的精神品格。
1954后公私合营时，有30余家小型厂并入，1966年改名为上海针织九厂。1994年，上海针织内衣（集团）公司改制为上海三枪（集团）有限公司，针织九厂成为三枪集团的母体企业，实现了商号与商标的统一，公司原址位于卢湾区黄陂南路888号。
九十年代，在上海纺织大调整的背景下，上海针织九厂通过兼并多家纺织亏损企业，既为纺织调整挑了重担，减轻了社会压力，同时也实现了三枪品牌的优势扩张。1999年，为响应上海市政府市区内“三废治理，异地生产”的号召，公司投资3.4亿元（其中3500万元用于环保设施建设），搬迁到康梧路555号，建设生产基地，并于2002年正式竣工投产。当时列为上海市政府重大工程项目，国务院副总理吴邦国亲自提名“三枪工业城”。“三枪工业城”总占地面积228亩，建筑面积92925.84平方米。
根据上海“五个中心”建设的发展要求，为配合政府的总体规划发展，跟进东方国际集团，走“科技与时尚”为主导的高端纺织产业之路的要求，2017年12月三枪将三枪工业城内的制造板块整体搬迁至江苏大丰，建造了中、高档面料产业基地。新工厂占地面积93亩，总投资1.57亿元，年生产规模为9000吨，主要生产高支高密丝柔面料、派丝特纤维面料、Lyocell纤维面料、德国腈纶dralon纤维面料、生物改性蛋白纤维针织内衣面料等新型面料，其中多个产品被评为上海市高新技术产品，具有良好的市场应用前景及较高的产品附加值。
制造业搬迁后，原三枪工业城针织大楼1-3层经历了全面的改造、装修，仓储物流也作了相应的场地调整。2018年12月份，龙头股份下属各事业部、三枪销售等部门于完成入驻，三枪工业城完成了由生产型基地向设计、研发、办公、物流的转型。
三枪产品历史介绍：
上海三枪集团生产的“三枪品牌”高档内衣系列产品，以棉、麻、丝、毛、混纺、化纤等为主要原料。
60~70年代：在70年代，一人二套42支双股闪色棉毛衫裤是新人结婚的必备品，象征牢固长久，是一辈子。
80~90年代：80年代末，柔暖棉毛的诞生，改变了消费者对棉毛衫裤的认识，是棉毛衫裤的一次革命性的颠覆。
2000年代，与美国莱卡纤维合作，开创了莱卡在内衣运用上的先河。
2010年代，推出了德绒产品、密棉产品、羊毛绒蛋白以及匠心系列产品。
2020年代，推出了热力弹系列产品，这款自主研发的的科技面料，通过特殊工艺实现横向拉伸高达260%，是业内屈指可数的无尺码保暖衣系列。 
现在，“三枪”品牌，已发展成为全品类的服饰品牌。产品覆盖内衣类，打底，休闲，T恤，户外，家居类，袜品，文胸，童装，热敷，家纺以及拖鞋、手套、围巾等配套类。
三枪产品历史介绍：
上海三枪集团以“三枪品牌”为核心优势，拓展积极广泛的战略合作，实现优势互补，共同发展。自三枪成为美国杜邦公司“全球最佳合作伙伴”后，三枪超凡的“双赢”能力，使得美国的道康宁公司、华特迪士尼公司、奥地利兰精公司、意大利Navigare品牌、时代华纳等著名集团先后与三枪建立起各种形式的合作，极大地提高了三枪集团在国际上的知名度。
历经86年峥嵘岁月， “中华老字号”三枪内衣已成为享誉全国、闻名东南亚的民族品牌，连续27年雄踞全国市场占有率第一。
根据东方国际“全球布局，跨国经营”战略布局，三枪线上线下并举，构筑营销网络，线下拥有营销网点超过3000家，通过跨境电商，产品远销世界60多个国家和地区。美国摩根•斯坦利公司认为三枪拥有中国内衣市场最为完善的营销渠道。
在响应国家“一带一路”的建设号召下，龙头埃塞俄比亚工厂于2018年4月28日在“亚的斯亚贝巴”开业，标志着公司产业链延伸到了非洲地区。“贸易先行、制造落地、品牌出海”的跨国经营战略，取得了重大进展，开启了“三枪”全球销售的宏伟蓝图。</t>
  </si>
  <si>
    <t>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智能制造企业。
我们为电力、新能源、冶金、轨交、石化、煤炭、港口、数据中心等多个行业服务，为世界首个500千伏张北柔性直流电网工程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
我们的全球化
我们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t>
  </si>
  <si>
    <t xml:space="preserve">       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
    森马服饰致力于打造全球多品牌时尚产业公司，旗下有成人品牌集群、儿童品牌集群：
• 成人品牌集群：SEMIR、Juice Couture、Marc O’Polo、Jason Wu、GleMall
• 儿童品牌集群：Balabala、MarColor、COCOTREE、The Children’s Place、mini Balabala
其中，主力品牌“森马”和“巴拉巴拉”分别是中国成人休闲装领域和童装领域的领军品牌。
       森马怀抱“成为全球领先的时尚服务提供商”的愿景，以“小河有水大河满”作为公司经营哲学，追求企业与员工、企业与社会之间的和谐发展，期待有才能的你加入我们！</t>
  </si>
  <si>
    <t>上海飞帆广告有限公司成立于1992年,企业性质为混合所有制，是中国一级广告企业，连续20年被评为上海市守合同重信用企业（AAA级）。公司为中国广告协会理事单位、中国广告协会户外分会副会长单位、上海市广告协会副会长单位；曾荣获中国十大领军媒体公司、中国广告协会户外广告分会十强领军企业、中国市区大牌媒体公司20强、中国户外广告企业百强榜公司、中国户外广告四十年优秀企业。
    企业的业务板块包括：户外媒体开发与发布、品牌活动策划、景观设计执行、标识标牌制作、景观灯光工程、数字化营销等。
    企业一贯坚持“诚信经营、客户至上、合作共赢”经营理念，始终秉承以自身专业知识、高效务实作风、科技创新思路，企业在稳健中求发展。</t>
  </si>
  <si>
    <t>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ISO14001体系认证，齐全的高精微米级机加工检测设备和完善的质量管理体系使得产品更加可靠。
我们诚挚邀请您加入我们，扬帆起航，共同发展。</t>
  </si>
  <si>
    <t>上海麦牙科技有限公司成立于2021年10月09日，注册地位于上海市闵行区银都路4277号3幢1层、2层、3层，法定代表人为郑燕芳。经营范围包括一般项目：技术服务、技术开发、技术咨询、技术交流、技术转让、技术推广；智能机器人的研发；工业机器人制造；工业自动控制系统装置制造；数控机床制造；数控机床销售；智能基础制造装备制造；物料搬运装备制造；智能仓储装备销售；电子专用设备制造；第一类医疗器械生产；专业设计服务；计算机系统服务；计算机软硬件及辅助设备零售；机械设备销售；电子专用设备销售；电子元器件零售；光电子器件制造；光电子器件销售；第一类医疗器械销售；第二类医疗器械销售。（除依法须经批准的项目外，凭营业执照依法自主开展经营活动） 许可项目：货物进出口；技术进出口；第二类医疗器械生产。（依法须经批准的项目，经相关部门批准后方可开展经营活动，具体经营项目以相关部门批准文件或许可证件为准）</t>
  </si>
  <si>
    <t>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
米锐可的英文Miracle意为“奇迹”，希望每一个员工都可以在人性化的环境里，创造出属于自己及公司的奇迹。公司始终坚守“思考、利人”的价值观；秉持“真诚，努力，团结”的经营理念；珍惜品牌声誉，倾听客户心声，始终致力于为客户提供专业而真诚的服务！</t>
  </si>
  <si>
    <t xml:space="preserve">上汽大众汽车有限公司 （简称“上汽大众”）是一家中德合资企业 ，由上汽集团和大众汽车集团合资经营 。公司于1984年10月签约奠基，是国内历史悠久的汽车合资企业之一。公司总部位于上海安亭，并先后在南京 、仪征、乌鲁木齐、宁波 、长沙等地建立了生产基地。 </t>
  </si>
  <si>
    <t>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2016年，蔚来发布全球最快电动汽车之一涸EP9；2017年，蔚来发布概念车EVE；2018年6月28日，蔚来正式向用户交付智能电动旗舰SUV蔚来ES8；2018年9月12日，蔚来在纽约证券交易所上市；2022年3月10日，蔚来正式在香港交易所挂牌交易；2022年5月20日，蔚来正式在新加坡挂牌交易；
蔚来旗下在售车型包括2022款智能电动旗舰SUV &amp;4款智能电动全能SUV  ES6、2022款智能电动轿跑SUV &amp;智能电动旗舰轿车ET7、智能电动轿跑ET5，以及6月全球首发的智能电动中大型SUV ES7。</t>
  </si>
  <si>
    <t>万国数据服务有限公司（纳斯达克股票代码：GDS ；港交所 股票代码： 9698 ）是国内面向 5G 、人工智能、云计算、工业互联网、区块链等领域的新一代信息技术基础设施服务提供商，于 2016 年在美国纳斯达克上市，并于 2020 年在港交所成功二次上市。公司拥有 21 年安全可靠的 IT 基础设施服务经验，在国内核心经济区域部
署数据中心。截至 20 22 年第 二 季度末 ，公司在京津冀地区、长三角地区、粤
港澳大湾区及西南等地区部署了 9 8 座自建数据中心 。 这些数据中心规模大且安全可靠，电力供应充沛，绿色高密且高可用，能够满足全国各类型客户对数据中心日趋旺盛的需求。
随着中国本土客户出海需求愈发强劲，万国数据也在 持续推进区域化战略落地，全力支持客户业务的全球化部署。 目前我们已在香港、澳门、马来西亚、印尼等地 规划和建设 超大型数据中心项目。
万国数据目前服务超 7 8 0 家客户，包括大型国有银行及商业银行、国内外顶尖的金融服务机构、大型知名跨国公司、地方政府、电信与 IT 服务商，以及国内互联网与云计算及各垂直行业的领军企业。
如果你学习能力强、韧劲十足、愿意投身 IT 基础设施领域，成为行业专才 ，那就加入我们的团队吧</t>
  </si>
  <si>
    <t>上海捷声商务服务有限公司
Jie Sheng Communication Services （Shanghai）Inc.以下简称 捷声 或 JCS
2015年3月成立于上海自贸区，作为金慧科技集团全资子公司同时
作为VCS的中国兄弟公司，主要负责呼叫中心项目实际落地运营工作。
金慧科技集团
成立时间  2013年11月，注册资金  10000万元
雇员总数 10000+，国内交付地 24，国内交付站点 34
是阿里巴巴、字节跳动、中国移动、招商银行框架服务商
国内首家COPC多站点认证外包服务商
客户联络中心行业协会推荐企业</t>
  </si>
  <si>
    <t xml:space="preserve">     上海堃苗教育科技有限公司，是贝思优托育品牌总部公司。贝思优品牌创设于 2017
年，专注于 0-3 婴幼儿托育服务，是爱绿教育集团下属的品牌。自 2016 年 9 月起，在
集团 30 多年的办学经验和平台上，贝思优深耕 0-3 托育服务品质，是业内极具专业口
碑的持证合法化托育园！   
      爱绿教育集团是一家以学前教育为主营业务的综合性教育产业集团。爱绿品牌于
1987 年创建，在创始人杨爱绿女士的带领下，自温州萧江创办第一所幼儿园开始，从未
停下发展的脚步。三十多年来，爱绿从萧江出发，走向温州，走向上海，再走向了全国。
       如今已发展成为足迹遍及中国四大地区(华北、华东、华南、西南)、八大省市(上海、
天津、重庆、浙江、江苏、广东、福建、四川)的大型民办教育集团。集团现有 40 余家
直营爱绿幼儿园，20 余家直营贝思优托育园，涉及领域还包括艺术培训学校和国际幼儿
游泳等项目，累计投资超亿。
      专注于幼教 30 年的爱绿教育集团，早在 8 年前就将触角延伸至 0-3 岁教育领域，
集团下属大部分幼儿园皆为所在社区、街道的指定早教点。
      </t>
  </si>
  <si>
    <t>微星科技成立于 1986年8月,一直以来始终秉持着『 产品卓越、质量精良、服务完美、客户满意 』的四大经营理念，专精于主板、各式显示适配器、笔记本产品的设计及制造，基于对客户满意的坚持下，历经严格的考验脱颖而出，跃身成为全球前三大的主板制造商；同时也是台湾最大、全球前五大的服务器制造商。而显示适配器的表现更是令人赞叹，已连续四年蝉联全球显示卡销售冠军美誉。</t>
  </si>
  <si>
    <t>JAKA节卡机器人，全球协作机器人革新者。创立于2014年，音译自英文名“JAKA”（Just Always Keep Amazing）永葆卓越之意，是一家聚焦于新一代协作机器人本体与智慧工厂创新研发的高新技术企业。
节卡机器人传承了上海交通大学机器人研究所自1979年以来的机器人核心技术积累与研发基因，组建了由10余名领域权威专家及百余名资深工程师组成的庞大研发团队，目前在驱控一体化、一体化关节、拖拽编程、无线互联等多项应用上取得了创新性突破，不断引领着机器人技术发展潮流。
节卡机器人以“用机器人解放双手”为使命，秉持专注、专业、原创精神，将智慧的火花传递到全球各个角落，助力企业迈入工业4.0时代。</t>
  </si>
  <si>
    <t>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5B、500KN振动台等国内先进的大型试验和测试设备。
现有从业人员600余人，其中硕士及以上学历人员占比近50%，高级职称150余人，特级技师2人，享受国务院政府特殊津贴4人，另有上海市领军人才、集团公司技术带头人等高层次人才数十名。聚焦高精度装配与测试技术、航天器热学、力学试验技术、真空装备技术、空间综合环境模拟与试验技术、数字化制造技术、先进工艺装备技术、试验测量与控制技术等核心技术领域，近五年共荣获国家科学技术进步二等奖、国家技术发明二等奖、国防科技进步一等奖、上海市科技发明二等奖等20余项科技奖。
上海卫星装备研究所始终以建设“国内综合实力最强的航天器AIT中心、华东地区专业最全的宇航装备试验鉴定中心、上海市品牌最优的真空应用装备发展中心”为指引，为我国军民商航天器装备总装集成、试验测试技术研究和装备研制提供强力支撑。在未来的发展中，始终践行让员工从事有尊严的工作，享受有温暖的生活，做一名自豪的航天人！
【需求专业】
控制科学与工程、仪器科学与技术、电子科学与技术、动力工程及工程热物理、机械工程、航空宇航科学与技术、流体机械及工程（真空）、制冷与低温工程
【薪酬福利】
第一年薪酬：绩效考核称职情况下，博士25-35万元；硕士20-25万元；本科13-15万元。次年度起收入与个人绩效挂钩。
福利待遇：入编后享受20万以上事业单位住房补贴；外地生提供人才公寓、集体宿舍或租房补贴；缴纳五险二金，补充商业保险等；享有餐贴、安家费、疗休养等；享受应届生上海市落户重点单位加分。
职业发展：提供职业领航、岗位培训、学术会议、公派出国留学等完善的发展平台和多元化的职业发展通道。</t>
  </si>
  <si>
    <t xml:space="preserve">       八〇三所，始建于1960年，是我国最早从事导弹武器、航天运输器、空间飞行器控制系统和惯性技术产品研制的单位之一，已发展成为集研发、设计、生产、试验为一体，专业优势突出、产品配套齐全、具有自主创新能力和综合优势的航天控制系统研究所。
       依托系统研发与单机研制的综合优势，八〇三所的飞行控制、光电探测与制导、惯性测量与导航、伺服驱动与控制等技术均达到国内先进水平，产品应用覆盖陆海空天全领域，是我国航天任务的主力军，为提升我国国防装备建设、国民经济发展作出了重要贡献。
       八〇三所是上海市惯性技术学会和上海市红外与遥感学会的理事长单位；建有上海市空间智能控制技术重点实验室、上海惯性工程技术研究中心、上海伺服系统工程技术研究中心、航天科技红外探测技术研发中心等4个省部级创新平台、14个产学研合作平台和1个海外研发中心，与18个国家和地区开展国际合作。八〇三所拥有雄厚的人才实力，培养了以院士、型号两总为代表的技术专家，以中华技能大奖获得者为代表的技能工匠。现有从业人员2000余人，博士100余人，副高级及以上专业技术人才600余人，国家级专家、国家“万人计划”、享受政府特贴专家、省部级技术带头人等20余人。先后荣获国家科技奖10余项、省部级科技奖380余项；荣获中央企业先进集体、上海市五一劳动奖状等荣誉称号百余项。
       秉持“成功、奋斗、创新；精细、协同、高效；开放、融合、共赢”的特色文化理念，八〇三所将不断创新进取，勇担航天强国建设重任，为实现中华民族伟大复兴而不懈奋斗！</t>
  </si>
  <si>
    <t>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
现拥有国内唯一的空间电源全国重点实验室，建有电子电源、化学电源、物理电源等电源领域研发中心，获科技部批复建有空间电源技术国际科技合作基地。
2020年4月批复成为空间电源领域国内唯一的国家创新人才培养示范基地。研究所具备直接向科技部推荐国家中青年创新领军人才和国家创新人才团队的资格。全所现有职工1400余人，其中核心技术人员900余人，硕士及以上学历700余人，35岁以下人员比例超过70%；柔性引进院士2名，引进和培养国务院政府特贴专家、国防突出贡献专家、上海市领军人才等省部级专家40余人。设有航空宇航科学博士后工作站，硕士研究生报考和培养点，是高端科技人才潜心科研和培养研究生的重要基地。现拥有硅/砷化镓太阳电池、锂离子电池等5条国军标生产线、2条宇航级高可靠产品生产线和多个卫星电源系统平台，旗下利用自身的专业优势孵化出上海航天电源技术有限责任公司、上海太阳能工程技术研究中心有限公司、航天氢能（上海）科技有限公司等3家高新技术民品企业。
五十多年来，研究所已为百余颗卫星、多型号运载火箭、战术武器、航空、舰船、无人机、飞艇等提供了优质电源系统或单机电源产品，为我国的国防现代化建设和一流空间电源的建设做出了重大贡献。
热诚欢迎有志于航天事业的优秀人才加入空间电源！</t>
  </si>
  <si>
    <t>上海格瑞特科技实业股份有限公司，立于1994年； 
中国楼控唯一新三板挂牌公司（证券代码：872532）
格瑞特是建筑智能化行业建筑设备安全运行解决方案的老牌设备制造商、服务商、解决方案提供商、设备能源服务运营商；中国楼控唯一新三板挂牌公司（证券代码872532）；系上海高新技术企业，软件企业，拥有50余项专利和软件著作权；系中国TC-100标准化委员会委员单位；多个行业协会副理事长和理事单位；
建筑设备管理系统连续8年被多个专业机构评为中国十强品牌（含进口品牌）
解决方案和产品遍布中国（大陆）所有省份；近2000用户数十万的终端运行中 
主要产品和解决方案： 
楼宇自控、能耗计量、空调计费、IBMS、智能照明、巡检系统等
公司以用户和技术为导向，为用户提供易用的全生态全生命周期解决方案和产品；服务于新建筑和城市更新，及装配式建筑的精细化运营。</t>
  </si>
  <si>
    <t>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业汽轮机、特殊透平机械及改造机组等领域。在产品研发、设计、制造与服务能力等方面已达国际先进水平。
  我们融合了众多国外先进企业的技术优势，设计并制造了拥有世界级竞争力的汽轮机产品。通过与全球五大重型燃机制造商之一的安萨尔多强强联合，我们成为了国内首个拥有全系列燃气轮机产品研发、设计、制造与服务能力的企业，持续提升市场竞争力，进一步实现了国内领先、国际一流的发展目标。
  作为上海电气集团的标杆企业之一，我们正以肩负振兴中国装备制造业大任为动力，打造产业规模达百亿的优质企业，为中国重型装备制造业的发展作出新贡献。</t>
  </si>
  <si>
    <t>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延锋国际技术中心是延锋集团的核心职能部门，目前全球人数5000多人，总部在上海，在全球设有13个分中心。</t>
  </si>
  <si>
    <t>单位名称</t>
  </si>
  <si>
    <t>单位简介</t>
  </si>
  <si>
    <t>职位1标题</t>
  </si>
  <si>
    <t>职位1jd</t>
  </si>
  <si>
    <t>年满18岁，接受无经验从业者，新手小白，弹幕游戏就是抖音最新直播间弹幕游戏玩法，直播间可以不露脸露不露脸看自己个人意愿，主要就是烘托直播间PK赛况的气氛，拉动观众互动率，不用会玩游戏，不需要你上手操作，解说游戏赛况实时即可。岗位职责:1.负责直播抖音平台弹幕实时互动类游戏，直播游戏玩法2.正常上手后，开播六小时。配合公司运营下播复盘3.运营团队跟播，每日下播复盘，成熟话术提供，打造专属你个人的弹幕游戏直播间4.不需要你去维护大哥大姐，抖音平台自动分流，对新人流量扶持极大5.无任何培训费用，接受新手小白0经验，能快速上手6.公司提供专业电脑以及声卡设备，老人带播任职要求：1.公司可接受新手小白0经验新人从业者，应届生，在校大学生，有无经验均可，有直播行业从业经验优先考虑。2.零基础操作，无需懂太多游戏操作，只要你敢开口说话，性格外向活泼开朗，善于沟通，情商高。3.无任何形象上的要求，不需要才艺，年龄没有限制，学历没有要求，只需要你情商高会说话，敢说话，胆子大月入过万不再是梦想工作时间：每日工作六小时不加班，不需要一直坐班，稳定后可以自己挑选时间段播可以居家办公，节假日正常放假。薪资待遇：……</t>
  </si>
  <si>
    <t>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t>
  </si>
  <si>
    <t>上海圆外物业集团有限公司于2004年2月经国家工商行政管理局批准成立，注册资金500万。公司目前管理的物业面积有400余万平方米,包括：高层住宅、多层住宅、别墅、商业物业、办公楼、工业厂房、学校等各类物业的管理与服务。公司董事长李俊南先生，上海市闵行区政协常委，本科学历，工程师中级职称，专注物业管理服务15年，获得上海市物业管理行业协会首批物业管理专家、上海市物业行业协会优秀工作者、上海市房地局物业招投标评审专家、上海市物业管理超标准认证评审专家、上海市闵行区物业管理行业工会联合会工会主席等多种荣誉。公司自成立以来注重服务管理和服务质量，有完整的运营管理机制和全新的经营理念，有团结向上的团队精神、积极向上的工作作风、良好的服务信誉以及高标准的经营服务道德规范。公司始终坚持忠诚、务实、团结、守信的管理理念，坚持奉行“打破惯性、挑战自我、不断创新”的质量方针，坚持贯彻为您竭尽所能的服务口号！脚踏实地抓管理，精益求精创品牌。公司是上海市物业管理行业协会理事会理事单位。被上海市物业管理行业协会评为“上海市物业服务综合百强企业”以及“上海市物业服务综合能力四星级星级企业”。闵行区房管局应……</t>
  </si>
  <si>
    <t>宋庆龄幼儿园是以国家名誉主席宋庆龄女士的名字命名，宋庆龄幼儿园座落于充满生机的赵巷绿色生活居住园区和虹桥经济开发区。是一所致力于推广优质早期教育的知名国际学校。宋庆龄幼儿园隶属于宋庆龄创办的中国福利会的事业单位，是国内外享有盛誉的上海市优质示范幼儿园。宋庆龄幼儿园坚持“在教育过程中尊重与要求和谐统一”的教育理念，以发展孩子个性，开发孩子潜能，促进孩子整体和谐发展为核心，努力为孩子提供丰富适宜的课程、温馨开放的环境与敬业优秀的教师，以促进孩子的健康发展。宋庆龄幼儿园的孩子来自于世界35个不同国家和地区，中外孩子与老师共同生活在这个爱的摇篮里，幼儿园也由此被大家亲切地称为“小小地球村”。作为“地球村”中的小公民，孩子们在这里学会理解、包容与分享，而这一切将为孩子一生的优秀打下重要的基础。上海宋庆龄学校是宋庆龄夫人创建的中国福利会全资兴办九年制学校。宋庆龄学校坐落于青浦区业辉路，校园整洁大方，学校继承了有20年历史的宋庆龄幼儿园的优良传统，是一所精英双语学校。学校学生中外混合，以中英双语教学为特色。宋庆龄幼儿园、宋……</t>
  </si>
  <si>
    <t>鑫都幼儿园成立于2010年9月，隶属于闵行区教育局，是一所公办幼儿园。园所位于莘庄工业区新源路2760号，占地面积达11000平方米，是闵行区单体规模最大的幼儿园之一。​我们以“让每一个孩子都闪亮，让每一位教工都成长”为办园理念，致力于为孩子打造“金色童年、金色梦想、金色乐园”的成长环境；以“绿色环保”为办园特色，通过丰富的亲自然活动启蒙孩子环保意识与习惯。开园至今，园所收获多项荣誉，包括“联合国教科文组织中国可持续发展教育（ESD）项目实验学校”“航天特色学校”“上海市安全文明校园”“上海市家庭教育示范校”等，是家长信赖、孩子喜爱的优质园所。​现面向学校招聘保育员/育婴师的定向实习生，期待与热爱幼儿教育、渴望成长的你同行，具体信息如下：​一、我们提供​1.专属师徒带教：安排经验丰富的资深生活老师作为专属师傅，一对一指导，帮你快速熟悉幼儿园一日作息流程，轻松上手工作。​2.实战学习机会：深度参与核心工作，包括协助组织幼儿活动与启蒙支持、维护班级环境与执行卫生消毒、学习安全管理与应急配合方法，积累真实工作经验。​3.优质发展平台：作为公办幼……</t>
  </si>
  <si>
    <t>软通动力信息技术（集团）股份有限公司（以下简称“软通动力”）是中国领先的软件与信息技术服务商，致力于成为具有全球影响力的数字技术服务领导企业，企业数字化转型可信赖合作伙伴。2005年，公司成立于北京，立足中国，服务全球市场。目前，公司在全球40余个城市设有近百个分支机构，构建完善的全球“营销和交付”服务网络，员工近90000人。秉承用数字技术提升客户价值的使命，软通动力长期提供数字化创新业务服务、通用技术服务和数字化运营服务，其中数字化创新业务服务包括数字咨询服务、数字技术服务和数字解决方案；凭借深厚的行业积累，公司在10余个重要行业服务超过1100家国内外客户，其中超过230家客户为世界500强或中国500强企业。软通动力注重创新和可持续发展。公司已建设30个能力中心，拥有1个国家级工程实验室，6个省市政府认定的工程、技术实验室及研发中心，1个博士后科研工作站，50+技术合作伙伴的生态合作体系，利用多种形式鼓励研发创新，不断探索前沿技术的巨大商业应用潜力。软通动力依托自身的教育平台，开展校企合作、协同育人，为公司长期发展培养人才。软通动力先后获得“2022中国软件和信息……</t>
  </si>
  <si>
    <t>上海电气电站设备有限公司上海发电机厂（原上海汽轮发电机有限公司）隶属于上海电气集团股份有限公司电站集团，由上海电气和德国西门子公司共同投资组建。上海发电机厂于1995年12月正式成立，主要从事火电、核电、燃机领域的大型发电机成套产品的研发、设计和制造。企业融合了上海电机厂四十多年汽轮发电机设计制造经验与德国西门子、美国西屋公司的先进技术和管理理念，牢牢占据着汽轮发电机行业的领导地位。企业以成为世界一流，具有持续发展能力与国际竞争能力的发电机制造企业为愿景，致力于技术创新，形成了以中科院院士、企业博士后工作站为主体的技术创新体系，已经在超超临界1000MW级火电、核电及燃气轮发电机等重大项目上实现了历史性突破，多次荣获国际和上海市科技进步一等奖、国家重点新产品等荣誉称号，产品出口巴基斯坦、伊朗、印度、孟加拉、越南、俄罗斯、巴西等国家，在国家“一带一路”战略和上海电气国际化战略带动下，产品已出口至19个国家,共107台机组。其中，百万核电、百万火电均为中国首台出口机组。企业先后获得上海市职工最满意企业，全国五一劳动奖，上海市文明单位，上海市市长奖。上海发电机厂作风务实，积极进取，凭借创新的……</t>
  </si>
  <si>
    <t>一、岗位情况1、岗位名称：冲压工、点焊工、喷漆工、装配工、检验员。2、岗位的性质：了解和熟悉汽车线束电路组成和构建，汽车各零件的装配及调试。3、工作的内容A、(操作员岗位职责）:-（1）熟悉车辆线束的种类、布局；（2）负责汽车零部件的组装和调试；（3）白车身白车身的焊接加工以及测试、保养、维护（4）负责协助上级完成工作计划；四、薪资体系二、薪资体系1、上班时间：上六休一，每天工作8-9小时（不定期加班1-2小时），中午约一个小时左右吃饭时间。2、薪资结构：基本工资+加班工资+吃住补贴。3、免费提供住宿、工作餐、免费提供床上用品生活用品（满三个月报销车费），有空调洗衣机热水网络。4、薪资：实习生工资按实际出勤时长发放工资，综合薪资3500-5500左右，加班越多工资越高，交商业保险。三、福利待遇1、福利：实习结束后，公司安排统一转正，并购买六险一金。2、住宿：提供6-8人/间标准宿舍，宿舍配备有空调、热水器、WiFi、独立卫生间等。3、过年过节会发放礼品、定期组建团建户外活动！4、转正后内部员工享受大众旗下品牌汽车购车优惠！5、有年终奖、生日费、过节费、季度福利、定期培训等。6、业余活动……</t>
  </si>
  <si>
    <t>万国数据服务有限公司（纳斯达克股票代码：GDS；港交所股票代码：9698）是国内面向5G、人工智能、云计算、工业互联网、区块链等领域的新一代信息技术基础设施服务提供商，于2016年在美国纳斯达克上市，并于2020年在港交所成功二次上市。公司拥有21年安全可靠的IT基础设施服务经验，在国内核心经济区域部署数据中心。截至2022年第二季度末，公司在京津冀地区、长三角地区、粤港澳大湾区及西南等地区部署了98座自建数据中心。这些数据中心规模大且安全可靠，电力供应充沛，绿色高密且高可用，能够满足全国各类型客户对数据中心日趋旺盛的需求。随着中国本土客户出海需求愈发强劲，万国数据也在持续推进区域化战略落地，全力支持客户业务的全球化部署。目前我们已在香港、澳门、马来西亚、印尼等地规划和建设超大型数据中心项目。万国数据目前服务超780家客户，包括大型国有银行及商业银行、国内外顶尖的金融服务机构、大型知名跨国公司、地方政府、电信与IT服务商，以及国内互联网与云计算及各垂直行业的领军企业。如果你学习能力强、韧劲十足、愿意投身I……</t>
  </si>
  <si>
    <t>上海堃苗教育科技有限公司，是贝思优托育品牌总部公司。贝思优品牌创设于2017年，专注于0-3婴幼儿托育服务，是爱绿教育集团下属的品牌。自2016年9月起，在集团30多年的办学经验和平台上，贝思优深耕0-3托育服务品质，是业内极具专业口碑的持证合法化托育园！爱绿教育集团是一家以学前教育为主营业务的综合性教育产业集团。爱绿品牌于1987年创建，在创始人杨爱绿女士的带领下，自温州萧江创办第一所幼儿园开始，从未停下发展的脚步。三十多年来，爱绿从萧江出发，走向温州，走向上海，再走向了全国。如今已发展成为足迹遍及中国四大地区(华北、华东、华南、西南)、八大省市(上海、天津、重庆、浙江、江苏、广东、福建、四川)的大型民办教育集团。集团现有40余家直营爱绿幼儿园，20余家直营贝思优托育园，涉及领域还包括艺术培训学校和国际幼儿游泳等项目，累计投资超亿。专注于幼教30年的爱绿教育集团，早在8年前就将触角延伸至0-3岁教育领域，集团下属大部分幼儿园皆为所在社区、街道的指定早教点。……</t>
  </si>
  <si>
    <t>八〇三所，始建于1960年，是我国最早从事导弹武器、航天运输器、空间飞行器控制系统和惯性技术产品研制的单位之一，已发展成为集研发、设计、生产、试验为一体，专业优势突出、产品配套齐全、具有自主创新能力和综合优势的航天控制系统研究所。依托系统研发与单机研制的综合优势，八〇三所的飞行控制、光电探测与制导、惯性测量与导航、伺服驱动与控制等技术均达到国内先进水平，产品应用覆盖陆海空天全领域，是我国航天任务的主力军，为提升我国国防装备建设、国民经济发展作出了重要贡献。八〇三所是上海市惯性技术学会和上海市红外与遥感学会的理事长单位；建有上海市空间智能控制技术重点实验室、上海惯性工程技术研究中心、上海伺服系统工程技术研究中心、航天科技红外探测技术研发中心等4个省部级创新平台、14个产学研合作平台和1个海外研发中心，与18个国家和地区开展国际合作。八〇三所拥有雄厚的人才实力，培养了以院士、型号两总为代表的技术专家，以中华技能大奖获得者为代表的技能工匠。现有从业人员2000余人，博士100余人，副高级及以上专业技术人才600余人，国家级专家、国家“万人计划”、……</t>
  </si>
  <si>
    <t>职位2标题</t>
  </si>
  <si>
    <t>职位2jd</t>
  </si>
  <si>
    <t>职位3标题</t>
  </si>
  <si>
    <t>职位3jd</t>
  </si>
  <si>
    <t>上海德辰汽车销售公司是北方一大型汽车经销商集团在上海新投资创立的一汽大众奥迪品牌4S店。超越了传统豪华汽车4S店的概念，实际具备品牌体验、车型展示、新车销售、售后服务、二手车置换等多种功能，完备的设施以及周到的服务一应俱全，体现出国际豪华品牌全球统一的服务水准。该城市展厅坐落于闵行区颛桥地区（颛兴东路1280弄3号）。地铁、轻轨均可到达，交通便捷。地址：颛兴东路……</t>
  </si>
  <si>
    <t>机电实习生（学历：中专/技校专业要求：汽车检测与维修技术,新能源汽车技术,汽车运用与维修技术,汽车车身维修技术,新能源汽车运用与维修,汽车制造类,汽车服务工程,汽车维修工程教育,新能源汽车工程）</t>
  </si>
  <si>
    <t>机电实习生（学历：中专/技校专业要求：汽车运用与维修技术,汽车检测与维修技术,汽车服务工程）</t>
  </si>
  <si>
    <t>门店管培生（学历：大专专业要求：无）</t>
  </si>
  <si>
    <t>公司简介：网鱼创始于1998年，起源于上海松江，2015年获得上海市著名商标荣誉称号。作为国内电竞连锁的代表，从诞生之初就秉承不断创新的理念，致力于全球第一电竞社区的打造，为全球电竞玩家提供优质的电竞休闲娱乐服务。截至2021年12月31日，网鱼全球会员数超2000万，服务覆盖国内外82个城市，在美国、英国、加拿大、澳大利亚、新加坡等多个国家开设门店，全球拥有900多家门店，年服务人次超4000万。2021年，网鱼品牌创新升级为“网鱼电竞”，打造游戏玩家的电竞基地；探索多业态，推出“网鱼电竞酒店”，正式进军电竞酒店行业，打造跨品类、跨业态、跨平台的综合娱乐型品牌，践行“给用户美好的体验”。截至2023年12月，网鱼电竞酒店覆盖全国26个主要城市，在营门店数量超过200家。岗位介绍门店管培生（储备店长）：50名工作地点：全国（全国1700家门店，可根据意向城市分配工作城市）。工作职责:1、经营管理：从基层店员历练开始，协助酒店店长进行门店的运营管理，管理门店资产设备、现金、账务，薪资录入，奖金核算；2、学习管理：跟随导师学习门店人员的岗位落实及日常管理；3、品质管理：保证门店卫生品质，逐……</t>
  </si>
  <si>
    <t>客户经理（学历：大专专业要求：无）</t>
  </si>
  <si>
    <t>职责：1、导座服务：①严格执行门店导座SOP标准，提升顾客满意度；②主动观察顾客消费习惯，提供个性化服务；③工作时间需着JK制服，并保持整洁得体的妆容及精神面貌；2、抖音直播：①每日在门店非上客高峰期，使用门店抖音账号，完成2小时直播；②负责直播间的秩序维护和用户互动，积极解答用户问题；③发掘直播间内意向用户，吸引用户到店，提升门店新会员数量；④每日24点前，完成一条抖音视频发布。3、会员运营：①完成企业微信社群搭建、成员邀请及日常维护；②每日回访新客，定期收集top100顾客反馈建议；③每日邀请老顾客到店上网，并为顾客线上订座；4、线上平台维护：①每周按照店长要求，完成高德/百度/腾讯地图/美团平台的优质好评数。②100%邀请团购用户消费后评价。要求：1、性别：女2、年龄：18-24周岁3、学历：大专及以上学历4、形象：身高160CM以上，形象气质佳5、性格特质：活泼开朗，有服务意识，擅沟通喜交流6、经验能力：会端游、有直播或者游戏教练经验者优先薪资待遇1、薪资：月薪5000+；2、福利：每月免费上网时长60小时，免费饮品10杯，简餐半价券42张，其他福利均同门店其他员工；3、销售提……</t>
  </si>
  <si>
    <t>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公司自上世纪九十年代至今已先后设计和施工了影剧院、演剧场、文化馆等几百项文化设施项目及公共商业设施项目，取得了良好的社会信誉……</t>
  </si>
  <si>
    <t>软件开发设计师（学历：大专专业要求：无）</t>
  </si>
  <si>
    <t>装饰设计（学历：大专专业要求：无）</t>
  </si>
  <si>
    <t>予童家庭服务（BabyNanny），以“重塑美好育儿生态”为使命，专注为高净值家庭提供育婴照护、婴儿早教、孩童陪伴等服务。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t>
  </si>
  <si>
    <t>家庭育婴师（学历：大专专业要求：护理,学前教育,助产）</t>
  </si>
  <si>
    <t>家庭育婴师（学历：初中及以下专业要求：学前教育,学前教育学,护理学,护理,护理学类,护理类,卫生教育,儿科学,妇幼保健医学,预防医学）</t>
  </si>
  <si>
    <t>可选择白班或住家1.全面负责新生儿的生活照料，涵盖喂养、洗澡、抚触、更换尿布等环节，保障宝宝的清洁与舒适。2.密切留意宝宝的生长发育状况，诸如身高、体重、睡眠、大小便等方面，一旦察觉异常立即向家长或医生反馈。3.依据宝宝的年龄及发展阶段，精心制定科学合理的喂养计划与作息时间表，悉心培养宝宝良好的生活习惯。4.开展早期教育与启蒙工作，借助游戏、互动等多种方式，推动宝宝的认知、语言、运动以及社交能力的发展。5.承担宝宝衣物、用品的清洗与消毒工作，确保宝宝生活环境的整洁与卫生。6.与家长保持高效且良好的沟通，深入了解家长的需求与关注重点，给予专业的育婴建议和指导。7.协助家长妥善处理宝宝的其他相关事务，像就医、接种疫苗等。任职要求对婴幼儿事业充满热爱，拥有爱心、耐心和责任心，具备良好的职业道德和素养。具备出色的沟通能力和团队协作精神，能够与家长及其他工作人员构建起良好的关系。身体健康，无传染性疾病，拥有良好的心理素质和抗压能力。具有一定的学习和创新能力，能够持续更新育婴知识和技能。有相关从业经验、实习经验者优先；护理专业、学前教育专业、婴幼儿托育专业优先；有乐器、舞蹈、声乐、英语、绘画等特长……</t>
  </si>
  <si>
    <t>中国电信股份有限公司上海莘闵电信局坐落于闵行区莘东路199号，简称莘闵电信局。前身为上海市电话局莘闵区局。2000年7月1日，中国电信集团上海市电信公司成立后，更名为上海市电信公司莘闵电信局；2008年3月，更名为中国电信股份有限公司上海莘闵电信局。中国电信股份有限公司上海莘闵电信局提供固定电话、移动通信、宽带互联网接入、互联网电视、卫星通信、信息化应用等泛在网络和综合智能信息服务能力，服务闵……</t>
  </si>
  <si>
    <t>门店经理见习生（学历：大专专业要求：无）</t>
  </si>
  <si>
    <t>装维见习生（学历：大专专业要求：无）</t>
  </si>
  <si>
    <t>打样纸板师（学历：大专专业要求：无）</t>
  </si>
  <si>
    <t>【岗位职责】负责服装款式的打板与制版工作：根据设计师提供的效果图、设计稿或样衣，精准制作纸样（含裁剪版、工艺版），确保版型符合设计风格与人体工学。样衣跟进与调整：配合样衣车间完成首件样衣制作，参与样衣试穿评审，根据试穿反馈（如尺寸偏差、版型舒适度）优化纸样，直至样衣合格。工艺文件输出：整理打板数据，制定详细的制版工艺说明（如缝份、缩率、面料特性适配方案），为生产车间提供清晰的技术指导。版型库管理：建立并维护公司版型数据库，分类归档不同款式、尺码的纸样文件，便于后续款式复用与优化。跨部门协作：与设计师、采购部（确认面料特性）、生产部（解决生产中的版型问题）高效配合，确保打板-制版-生产流程顺畅。【任职要求】学历与经验：中专及以上学历，服装相关专业（如服装工程、服装设计），1-3年及以上服装打板/制版经验（应届生可投递助理岗，需熟悉基础打板逻辑）。核心技能：熟练掌握手工打板技巧，能独立完成从净版到毛版的制作；精通制版软件（如富怡、ET、格柏Gerber等），可高效进行数字化制版与纸样修改；了解不同面料特性（如棉、丝、针织、弹力面料）对版型的影响，能针对性调整打板方案；熟悉服装号型标准（如G……</t>
  </si>
  <si>
    <t>销售（学历：大专专业要求：无）</t>
  </si>
  <si>
    <t>“和我们共创无限可能的未来”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t>
  </si>
  <si>
    <t>智能建筑工程实习生（学历：大专专业要求：建筑智能化工程技术）</t>
  </si>
  <si>
    <t>管理培训生（学历：大专专业要求：无）</t>
  </si>
  <si>
    <t>1、总部职能岗位管理培训生：服务管控中心、品质管控中心、企业发展中心、财务管理部、综合管理部和人力资源部管理培训生；2、运营岗位管理培训生：上海各项目基础管理岗位管理培训生即项目运营条线秩序维护、工程管理、客户服务、环境管理和综合管理岗位管理培训生。岗位需求：根据公司发展不断扩大，为了更好提升管理团队的综合素养，也为了更好的对职能和项目管理人员进行补充，特拟定自2022年10月起启动招聘“新瑞”计划，即招收20名应届毕业生，具体要求如下：1、有志于从事物业管理行业；2、男女不限、形象良好，较强的沟通和表达能力；思维活跃，有较强的创新意识；有责任心，适应能力和抗压性强，3、有一定的文书编写能力，熟练操作各类电脑软件如PPT、PHOTOSHOP等；4、专业不限、户籍不限，除工程类“新瑞”需要对口机电类、工程技术类专业外；5、本科以上，985，211院校可优先考虑，条件特别优秀者可放宽至应届大专毕业生。如经面试录取后实习期为2023年2月起至2023年6月30日，经实习期评估合格可签订正式劳动合同，签订正式劳动岗位职级不低于主管级。工作内容：通过在总部、区域、项目的轮岗学习，对职能人力行政、……</t>
  </si>
  <si>
    <t>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作为长三角文旅产业联盟会员单位、教育部职教工场项目白名单企业，图萌科技拥有计算机软件著作权登记证书、上海电……</t>
  </si>
  <si>
    <t>平面设计（学历：大专专业要求：视觉传达设计）</t>
  </si>
  <si>
    <t>AI虚拟数字人拍摄制作专员（学历：大专专业要求：无）</t>
  </si>
  <si>
    <t>上海味捷智朗科技发展有限公司是熙香科技集团重要子公司之一。集团始创于2014年，是国内领先的人工智能科技企业，国内首家落地的生活服务机器人系统解决方案的服务商，公司致力于借助人工智能、物联网、大数据等技术，激发出更具交互性、智能化和安全的生活服务新业态，通过将物AI+技术应用于生活服务领域，建立智能服务一体化、作业机械无人化、需求定制自动化的“两化一体”模式，实现数据驱动的的精细化运营。公司相关智……</t>
  </si>
  <si>
    <t>机械电工（学历：大专专业要求：机械工程,机械设计制造及其自动化,机械制造及其自动化,机械电子工程）</t>
  </si>
  <si>
    <t>高级java开发工程师（学历：大专专业要求：计算机科学与技术,电子与计算机工程,计算机网络技术,计算机应用技术,计算机应用工程）</t>
  </si>
  <si>
    <t>岗位职责1.参与公司产品或项目的需求分析、设计与开发，根据业务需求完成高质量代码编写，实现系统功能模块；2.负责后端系统的架构设计、搭建与优化，确保系统的稳定性、性能和可扩展性，保障系统高效稳定运行；3.与前端开发团队紧密协作，定义数据接口规范，完成前后端数据交互开发，确保项目整体功能的完整性和流畅性；4.进行数据库设计、优化和维护，熟练编写SQL语句，处理复杂的数据操作和事务管理，保障数据的准确性和安全性；5.编写详细准确的技术文档，包括设计文档、接口文档、使用说明等，为团队协作和系统维护提供支持6.独立解决和处理所负责的项目的运维和监控，及时处理生产环境中的故障和问题，保障系统的可用性和稳定性；7.持续关注行业技术发展趋势，引入新技术、新工具，优化现有技术方案和开发流程，提升团队技术水平和开发效率。任职要求1.专科及以上学历，计算机科学与技术、软件工程、机械、自动化等相关专业优先。2.具有5年以上Java开发经验，有完整的项目开发经验，能够独立承担模块开发任务3.扎实的Java基础知识，熟悉常用设计模式，对多线程、并发编程、JVM原理及调优有深入理解。4.熟练掌握Spring、Sp……</t>
  </si>
  <si>
    <t>院前急救辅助人员（学历：大专专业要求：无）</t>
  </si>
  <si>
    <t>急救医师（学历：本科专业要求：临床医学）</t>
  </si>
  <si>
    <t>博赫尔（POHIR）科技集团是一家全球智能化清洁清洗解决方案提供商和服务商，POHIR博赫尔品牌起源于上个世纪90年代的德国，经过近20多年的发展和不断创新，POHIR博赫尔在全球已覆盖了北美，欧洲，东南亚等全球50多个国家或地区，并为全球30万+客户提供清洁清洗设备解决方案。在欧洲，博赫尔（POHIR）分别在德国、法国等地设有2个仓储运营服务中心和1个产品设计研发中心。在北美，博赫尔（……</t>
  </si>
  <si>
    <t>电商客服（学历：大专专业要求：电子商务类）</t>
  </si>
  <si>
    <t>跨境电商运营助理（学历：本科专业要求：跨境电子商务）</t>
  </si>
  <si>
    <t>上海上勤高级楼宇管理有限公司，隶属于上海市机关事务管理局委托管理的国有独资企业，一直从事市人大和市政府等机关后勤服务保障工作。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t>
  </si>
  <si>
    <t>工程助理（物业维修电工）（学历：中专/技校专业要求：无）</t>
  </si>
  <si>
    <t>会务助理（学历：中专/技校专业要求：无）</t>
  </si>
  <si>
    <t>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隶属于美国开利Carrier空调的ALC公司研发的WebCTRL系统是暖通自控BA行业最先进的系统之一，结合迪麦科公司多年的工程实践经验、强大的专业技术团队和大量数据中心……</t>
  </si>
  <si>
    <t>助理工程师（学历：大专专业要求：建筑电气与智能化,建筑智能化工程技术,供热通风与空调工程技术,制冷与空调技术）</t>
  </si>
  <si>
    <t>助理工程师（学历：大专专业要求：建筑电气与智能化,建筑智能化工程技术,制冷与空调技术,供热、供燃气、通风及空调工程）</t>
  </si>
  <si>
    <t>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多年来始……</t>
  </si>
  <si>
    <t>机电维修（学历：大专专业要求：无）</t>
  </si>
  <si>
    <t>设计师（学历：博士专业要求：无）</t>
  </si>
  <si>
    <t>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t>
  </si>
  <si>
    <t>电讯装配岗（大专实习）（学历：大专专业要求：无）</t>
  </si>
  <si>
    <t>钳工装配岗（大专实习）（学历：大专专业要求：无）</t>
  </si>
  <si>
    <t>菁茼（上海）教育科技有限公司｜致年轻伙伴的一封信嘿，未来的“电竞筑梦人”：我们是菁茼（上海）教育科技——一群深耕电竞产业的“玩家”，也是一群想为年轻人搭舞台的“造梦者”。如果你问我们是谁？我们是​​电竞教育领域的“实战派”​​：和20+高校深度合作，把课堂搬到真实赛场，带学生边学赛事策划、电竞运营，边参与千万级流量赛事执行；从游戏解说到数据分析师，我们用产业需求定义“人才标准”。我们是​……</t>
  </si>
  <si>
    <t>课程专员（学历：初中及以下专业要求：无）</t>
  </si>
  <si>
    <t>菁茼（上海）教育科技｜课程专员（电竞教育方向）职位描述工作地点：上海（总部，需定期赴合作院校/企业调研）汇报对象：电竞教育课程研发负责人核心职责1.课纲与教材开发的辅助支持​•协助课程组专家完成电竞课纲/教材的基础搭建：根据专家确定的课程方向（如“电竞运营”“赛事解说”），收集行业资料（赛事规则、企业岗位JD、最新游戏版本更新等），整理成结构化素材包供专家参考；•参与教材初稿的内容校对与优化：协助检查教材逻辑连贯性、案例时效性（如替换过时赛事数据为新赛季案例），标注学生易混淆知识点，配合专家完成一轮轮修订；•跟踪课程试点反馈：协助专家收集合作院校的课堂反馈（如学生提问高频点、教师教学难点），整理成《课程优化建议清单》，为专家迭代内容提供数据支撑。2.院校与企业需求的翻译与传递​•对接合作院校的教师与学生：通过访谈、问卷收集教学痛点（如“学生缺乏赛事执行实操机会”“理论课太枯燥”），转化为专家能理解的“需求关键词”（如“增加沙盘模拟环节”“插入短视频制作案例”）；•对接用人企业（如电竞俱乐部、直播平台）的HR与业务负责人：梳理企业真实岗位技能要求（如“赛事直播控场能力”“俱乐部舆情管理能……</t>
  </si>
  <si>
    <t>院校拓展助理（学历：初中及以下专业要求：无）</t>
  </si>
  <si>
    <t>菁茼（上海）教育科技｜院校拓展助理（电竞教育方向）职位描述工作地点：BASE上海，覆盖5城：株洲、珠海、滨州、苏州、成都（需频繁出差）汇报对象：电竞教育板块区域负责人核心职责​1.目标院校开发与关系维护​•负责湖南株洲、广东珠海、山东滨州、江苏苏州、四川成都5地目标院校（民办职校/中专/技校/大专为主）的拓展与对接；•深入调研院校需求（如专业共建、兴趣班开设、学生就业出口等），结合菁茼电竞教育资源（课程体系、职业认证、企业实习等），定制“院校-企业”合作方案；•维护院校高层、二级学院院长、专业带头人等关键决策人关系，定期拜访并推进合作进度。2.电竞专业/兴趣班合作落地​•推动院校与菁茼签订《电竞专业共建协议》或《兴趣班合作协议》，协调完成课程大纲制定、教材引入、师资培训（公司提供职业讲师+高校教师双轨支持）等前期筹备；•配合院校完成招生指标，设计“电竞专业/兴趣班”专属招生简章，协同高校开展线上线下宣讲（如校园讲座、电竞体验赛、企业导师进课堂等活动）；•跟进合作项目全周期：从签约到开班、教学执行（协调公司师资/设备/赛事资源）、学生实习就业（对接公司合作企业资源）至口碑反馈，确保合作质……</t>
  </si>
  <si>
    <t>服装外贸业务助理（学历：大专专业要求：纺织服装类）</t>
  </si>
  <si>
    <t>服装开发助理（学历：大专专业要求：服装与服饰设计）</t>
  </si>
  <si>
    <t>育婴员/保育员（学历：本科专业要求：教育学）</t>
  </si>
  <si>
    <t>幼儿园教师（学历：本科专业要求：无）</t>
  </si>
  <si>
    <t>上海新进芯微电子有限公司隶属于美国Diodes公司，成立于2007年年底，坐落于上海紫竹科学园区，公司现有全职员工600余人，其中从事设计和工程的技术团队为300余人。公司拥有6英寸以及8英寸晶圆制造净化厂房，可以为系统客户提供采用先进的模拟IC设计和研发、以及利用高阶的生产工艺（如Bipolar、CMOS、BiCDMOS、TVS和SKY等）所制造的多元化高效能半导体产品，并且通过了ISO9……</t>
  </si>
  <si>
    <t>设备维护技术员（学历：大专专业要求：无）</t>
  </si>
  <si>
    <t>设备操作员（学历：高中专业要求：无）</t>
  </si>
  <si>
    <t>新媒体主播（学历：大专专业要求：无）</t>
  </si>
  <si>
    <t>行政前台（学历：大专专业要求：无）</t>
  </si>
  <si>
    <t>挪亚检测认证集团(NOA|挪亚)成立于1999年，是一家独立、公正及专业的综合性检验、检测、认证以及研究研发和品质保障服务机构，集团总部位于中国上海。NOA|挪亚是中国最早从事检验、检测及认证的第三方服务机构之一。NOA|挪亚已获得中国国家认证认可监督管理委员会（CNCA）批准（CNCA-R-2002-51）和中国计量认证(CMA)的资质评定，并且已通过中国合格评定国家认可委员会（CNAS）及……</t>
  </si>
  <si>
    <t>计划管理实习生（学历：大专专业要求：无）</t>
  </si>
  <si>
    <t>质量检验员（学历：大专专业要求：无）</t>
  </si>
  <si>
    <t>上海南华兰陵电气有限公司是上海电气旗下的中外合资企业，是一家专业生产输配电用和新能源用高、低压成套开关设备及预装式变电站的高新技术企业。具有建委建筑业二级总承包资质，具有电监委电力设施承装三级、承修二级、承试二级资质，具备管线工程水平定向钻施工三级能力。主导产品已涵盖高压、低压、箱变、真空断路器、电子元件五大系列数十个品种与西门子、ABB、施耐德等国际知名公司……</t>
  </si>
  <si>
    <t>智能化设备（学历：大专专业要求：无）</t>
  </si>
  <si>
    <t>技能人员储备（学历：大专专业要求：无）</t>
  </si>
  <si>
    <t>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森马服饰致力于打造全球多品牌时尚产业公司，旗下有成人品牌……</t>
  </si>
  <si>
    <t>财会方向（25届）（学历：本科专业要求：无）</t>
  </si>
  <si>
    <t>海外业务方向（25届）（学历：本科专业要求：德语,法语,意大利语,西班牙语,菲律宾语,泰语）</t>
  </si>
  <si>
    <t>工作职责：1.品牌推广与本地化：负责品牌的海外渠道拓展推广，包括线上和线下渠道的整合营销活动，以及品牌信息的本地化调整，确保品牌在不同文化背景下的有效传播。2.客户关系管理：建立和维护与海外客户的关系，包括客户服务、反馈收集和处理，以及建立长期的客户忠诚度。3.数据分析与报告：定期收集和分析海外市场数据，包括销售报告、市场趋势、客户反馈等，为公司决策提供数据支持。4.团队协作与跨部门沟通：与公司内部的产品设计、生产、物流、市场等部门密切合作，确保海外运营活动的顺利执行。5.危机管理：应对海外市场中可能出现的突发情况，如供应链中断、市场变化、政策调整等，制定应急计划和解决方案。6.预算管理：负责海外运营的预算规划和成本控制，确保营销活动和运营成本在预算范围内。任职资格：1.25届本科及以上学历，专业不限。2.需要具备良好的中英文沟通能力，包括书面和口头表达，对目标市场的本地语言熟悉尤佳。3.对服装行业有兴趣，包括时尚潮流、服装面料、设计趋势等。4.具备与不同文化背景的人有效沟通的能力，特别是目标市场的文化和商业习惯。5.擅长使用数据分析工具。6.需要具备较强的抗压能力和自我驱动力。本岗位……</t>
  </si>
  <si>
    <t>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现拥有国内唯一的空间电源全国重点实验室，建有电子电源、化学电源、物理电源等电源领域研发中心，获科技部批复建有空间电源技术国际科技合作基地。2020年……</t>
  </si>
  <si>
    <t>化学电源工程师（学历：本科专业要求：化学,材料科学与工程）</t>
  </si>
  <si>
    <t>设备工程师（学历：本科专业要求：机械制造及其自动化,电气类）</t>
  </si>
  <si>
    <t>仓储助理专员（学历：大专专业要求：无）</t>
  </si>
  <si>
    <t>良率提升助理技术员（学历：大专专业要求：无）</t>
  </si>
  <si>
    <t>实验室技术员（学历：大专专业要求：无）</t>
  </si>
  <si>
    <t>新皋实业成立于2013年初，总部位于上海虹桥机场毗邻的明谷科技园，公司在智能家居领域率先投入智能家居控制系统的项目研发、生产及销售。获得软件专利著作权十多项，企业获得国家商标局认证商标：《新皋》《XINGAO》《艾登堡》《ATNBO》等品牌，并推出真正适合国内外用户的智能影音系列产品。自主研发新皋XINGAO智能影院中控系统及艾登堡ATNBO家庭影院系列产品,深受行业专业人士好评。……</t>
  </si>
  <si>
    <t>设计，UI设计，效果图设计（学历：大专专业要求：无）</t>
  </si>
  <si>
    <t>物联网技术助理（学历：初中及以下专业要求：微电子技术,微电子学与固体电子学,微电子科学与工程）</t>
  </si>
  <si>
    <t>新媒体运营（学历：初中及以下专业要求：无）</t>
  </si>
  <si>
    <t>工作内容负责公司多媒体渠道（包括但不限于微信公众号、抖音、微博等）的运营管理和内容策划。通过策划和执行，提升公司多媒体渠道的曝光度和用户粘性。主要职责：1、负责公司多媒体渠道的运营管理和内容策划，包括但不限于制定并执行渠道内容计划、跟踪和优化渠道运营效果、策划并执行创意等；2、撰写、编辑、发布公司公众号多媒体内容，提升内容质量和创意，以满足用户需求和公司需求；3、根据公司业务需求，制定并执行多媒体渠道的定期更新和升级策略，提升公司多媒体品牌形象和用户黏性；4、定期汇报公司多媒体渠道运营效果，提供数据驱动的改进建议，以优化公司多媒体运营策略；5、与其他部门的沟通和协作，包括但不限于与视频拍摄团队、设计师等合作，提升公司多媒体内容质量和用户体验。招聘条件多媒体运营专业，大专及以上学历，具备较强的……</t>
  </si>
  <si>
    <t>校企合作经理（学历：大专专业要求：无）</t>
  </si>
  <si>
    <t>大学生营销储备干部（学历：本科专业要求：无）</t>
  </si>
  <si>
    <t>【公司简介】珍岛集团成立于2009年，聚焦企业数字化智能化，打造了全球领先的智能营销云平台Marketingforce.com，也是国内最大的营销及销售SaaS解决方案提供商。基于大数据、人工智能、云计算技术，现已形成IaaS（云计算）、PaaS(开放中台)、All-in-oneAISaaS等一站式智能营销云平台。总部位于上海市静安区大数据产业基地，第二总部位于武汉光谷，云计算机房设立于无锡基地，30+分支机构覆盖江苏、浙江、广东等省份。珍岛集团现有员工约4000人，累计申请软件著作权400余项，相关专利40余项。【营销储备干部】★岗位职责1.通过电话、陌生拜访、新媒体等渠道寻找潜在客户，邀约并拜访客户；2.与客户面谈，现场提供专业的产品演示和解决方案，完成销售；3.对老客户进行定期维护，及……</t>
  </si>
  <si>
    <t>HD智能营销顾问（学历：本科专业要求：经济与金融,国际经济与贸易,英语,计算机科学与技术,大数据管理与应用,工程造价,信息管理与信息系统,市场营销教育,行政管理,电子商务）</t>
  </si>
  <si>
    <t>工作内容：1、通过电话、陌生拜访、新媒体等渠道寻找潜在客户，邀约并拜访客户；2、与客户面谈，现场提供专业的产品演示和解决方案，完成销售（当你还不能独立面谈的时候，经理会手把手带着你并演示给你看如何和客户面谈）；3、对老客户进行定期维护，及时了解客户需求，把握客户心理，实现销售机会到销售产能的最大转化。岗位要求：4、全日制本科及以上学历，专业不限；5、对互联网行业有浓厚兴趣且考虑在营销领域发展；6、有较强的学习能力、沟通能力和适应能力；喜欢做与人打交道的工作薪资：上海：实习保障薪资8000元/月+提成9%-29%深圳、广州：实习保障薪资7500元/月+提成9%-29%杭州、苏州、宁波、南京：实习保障工资6000元/月+提成9%-29%无锡、武汉：实习保障保障工资5500元/月+提成9%-29%……</t>
  </si>
  <si>
    <t>革力物流有限公司总部设在上海,并在深圳,广州,佛山,中山,以及宁波设有分公司,在华北地区也有较好的代理网络。公司网址为：www.gclchina.net公司的代理网络覆盖100多个国家,优势航线为欧洲,地中海,中东印巴,以及澳洲新西兰和东南亚国家除基本海运空运以外，公司还致力于发展进出口代理、清关、仓储、供应链管理等多元化主体化的国际物流服务。主要合作船公司有:MAERSK、APL、EV……</t>
  </si>
  <si>
    <t>会计助理（实习生）（学历：大专专业要求：无）</t>
  </si>
  <si>
    <t>单证员（学历：大专专业要求：无）</t>
  </si>
  <si>
    <t>货代商务/市场专员（实习生）（学历：大专专业要求：无）</t>
  </si>
  <si>
    <r>
      <rPr>
        <sz val="11"/>
        <rFont val="宋体"/>
        <charset val="134"/>
      </rPr>
      <t>岗位职责：</t>
    </r>
    <r>
      <rPr>
        <sz val="11"/>
        <rFont val="Calibri"/>
        <charset val="134"/>
      </rPr>
      <t>1</t>
    </r>
    <r>
      <rPr>
        <sz val="11"/>
        <rFont val="宋体"/>
        <charset val="134"/>
      </rPr>
      <t>、根据不同渠道维护已有船公司、庄家等供应商；</t>
    </r>
    <r>
      <rPr>
        <sz val="11"/>
        <rFont val="Calibri"/>
        <charset val="134"/>
      </rPr>
      <t>2</t>
    </r>
    <r>
      <rPr>
        <sz val="11"/>
        <rFont val="宋体"/>
        <charset val="134"/>
      </rPr>
      <t>、根据不同渠道开发新的船公司、庄家等供应商；</t>
    </r>
    <r>
      <rPr>
        <sz val="11"/>
        <rFont val="Calibri"/>
        <charset val="134"/>
      </rPr>
      <t>3</t>
    </r>
    <r>
      <rPr>
        <sz val="11"/>
        <rFont val="宋体"/>
        <charset val="134"/>
      </rPr>
      <t>、承接海外销售部及本地销售同事的询价；</t>
    </r>
    <r>
      <rPr>
        <sz val="11"/>
        <rFont val="Calibri"/>
        <charset val="134"/>
      </rPr>
      <t>4</t>
    </r>
    <r>
      <rPr>
        <sz val="11"/>
        <rFont val="宋体"/>
        <charset val="134"/>
      </rPr>
      <t>、收集市场信息，负责航线价格体系的维护和完善，定期更新市场价格体系；</t>
    </r>
    <r>
      <rPr>
        <sz val="11"/>
        <rFont val="Calibri"/>
        <charset val="134"/>
      </rPr>
      <t>5</t>
    </r>
    <r>
      <rPr>
        <sz val="11"/>
        <rFont val="宋体"/>
        <charset val="134"/>
      </rPr>
      <t>、及时在公司内部做市场信息公布，如航线运价走势，各船公司对于运价及载货方面的新规定；</t>
    </r>
    <r>
      <rPr>
        <sz val="11"/>
        <rFont val="Calibri"/>
        <charset val="134"/>
      </rPr>
      <t>6</t>
    </r>
    <r>
      <rPr>
        <sz val="11"/>
        <rFont val="宋体"/>
        <charset val="134"/>
      </rPr>
      <t>、及时解决仓位，操作异常等突发事件；</t>
    </r>
    <r>
      <rPr>
        <sz val="11"/>
        <rFont val="Calibri"/>
        <charset val="134"/>
      </rPr>
      <t>7</t>
    </r>
    <r>
      <rPr>
        <sz val="11"/>
        <rFont val="宋体"/>
        <charset val="134"/>
      </rPr>
      <t>、及时完成上级交办的其他工作。薪资待遇：</t>
    </r>
    <r>
      <rPr>
        <sz val="11"/>
        <rFont val="Calibri"/>
        <charset val="134"/>
      </rPr>
      <t>1</t>
    </r>
    <r>
      <rPr>
        <sz val="11"/>
        <rFont val="宋体"/>
        <charset val="134"/>
      </rPr>
      <t>、合理优厚的薪金：基本工资</t>
    </r>
    <r>
      <rPr>
        <sz val="11"/>
        <rFont val="Calibri"/>
        <charset val="134"/>
      </rPr>
      <t>+</t>
    </r>
    <r>
      <rPr>
        <sz val="11"/>
        <rFont val="宋体"/>
        <charset val="134"/>
      </rPr>
      <t>绩效奖金</t>
    </r>
    <r>
      <rPr>
        <sz val="11"/>
        <rFont val="Calibri"/>
        <charset val="134"/>
      </rPr>
      <t>+</t>
    </r>
    <r>
      <rPr>
        <sz val="11"/>
        <rFont val="宋体"/>
        <charset val="134"/>
      </rPr>
      <t>补贴</t>
    </r>
    <r>
      <rPr>
        <sz val="11"/>
        <rFont val="Calibri"/>
        <charset val="134"/>
      </rPr>
      <t>+</t>
    </r>
    <r>
      <rPr>
        <sz val="11"/>
        <rFont val="宋体"/>
        <charset val="134"/>
      </rPr>
      <t>年终奖等</t>
    </r>
    <r>
      <rPr>
        <sz val="11"/>
        <rFont val="Calibri"/>
        <charset val="134"/>
      </rPr>
      <t>,2</t>
    </r>
    <r>
      <rPr>
        <sz val="11"/>
        <rFont val="宋体"/>
        <charset val="134"/>
      </rPr>
      <t>、完善的假期组合：带薪年假、带薪病假及法定假期；</t>
    </r>
    <r>
      <rPr>
        <sz val="11"/>
        <rFont val="Calibri"/>
        <charset val="134"/>
      </rPr>
      <t>3</t>
    </r>
    <r>
      <rPr>
        <sz val="11"/>
        <rFont val="宋体"/>
        <charset val="134"/>
      </rPr>
      <t>、齐全的福利体系：养老保险、医疗保险</t>
    </r>
    <r>
      <rPr>
        <sz val="11"/>
        <rFont val="Calibri"/>
        <charset val="134"/>
      </rPr>
      <t>+</t>
    </r>
    <r>
      <rPr>
        <sz val="11"/>
        <rFont val="宋体"/>
        <charset val="134"/>
      </rPr>
      <t>补充医疗保险、生育保险、工伤保险、失业保险及住房公积金；</t>
    </r>
    <r>
      <rPr>
        <sz val="11"/>
        <rFont val="Calibri"/>
        <charset val="134"/>
      </rPr>
      <t>4</t>
    </r>
    <r>
      <rPr>
        <sz val="11"/>
        <rFont val="宋体"/>
        <charset val="134"/>
      </rPr>
      <t>、丰富多彩的员工活动：员工聚餐、节日晚会、旅游活动、优秀员工表彰活动等；</t>
    </r>
    <r>
      <rPr>
        <sz val="11"/>
        <rFont val="Calibri"/>
        <charset val="134"/>
      </rPr>
      <t>5</t>
    </r>
    <r>
      <rPr>
        <sz val="11"/>
        <rFont val="宋体"/>
        <charset val="134"/>
      </rPr>
      <t>、多元化培训课程：带薪岗前培训，在职个人提升</t>
    </r>
    <r>
      <rPr>
        <sz val="11"/>
        <rFont val="Calibri"/>
        <charset val="134"/>
      </rPr>
      <t>……</t>
    </r>
  </si>
  <si>
    <t>展区管理员（学历：大专专业要求：无）</t>
  </si>
  <si>
    <t>空调维修实习工程师（学历：大专专业要求：制冷与空调技术）</t>
  </si>
  <si>
    <t>空调维修工程师（学历：大专专业要求：制冷与空调技术）</t>
  </si>
  <si>
    <t>上海点晴信息科技有限公司(ALCHEMYInformationtech-nologyCo.,Ltd)成立于2013年，是一家集独立游戏开发、高品质游戏美术制作服务及游戏美术赛事运营为一体的移动互联网公司。获高新技术企业，专精特新企业、科技小巨人企业、徐汇区企业技术中心、上海市设计创新中心等荣誉。作为腾讯，网易，育碧，米哈游，拳头，电魂，英雄互娱等知名研发公司的核心供……</t>
  </si>
  <si>
    <t>3D模型师/3D建模师（学历：大专专业要求：无）</t>
  </si>
  <si>
    <t>PM（学历：本科专业要求：应用韩语,日语,英语,商务英语）</t>
  </si>
  <si>
    <t>游戏2D原画设计师（学历：大专专业要求：无）</t>
  </si>
  <si>
    <t>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t>
  </si>
  <si>
    <t>外贸业务助理（学历：大专专业要求：国际经济与贸易,国际贸易学,贸易经济）</t>
  </si>
  <si>
    <t>主动营销（学历：大专专业要求：电子商务,跨境电子商务,电子商务技术,电子商务类）</t>
  </si>
  <si>
    <t>文案实习生/英语编辑实习（学历：大专专业要求：汉语言文学,英语,商务英语,英语语言文学,编辑出版学,新媒体艺术,市场营销,广告学）</t>
  </si>
  <si>
    <t>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t>
  </si>
  <si>
    <t>广告运营专员（学历：大专专业要求：无）</t>
  </si>
  <si>
    <t>总经理助理（学历：本科专业要求：法学,中国语言与文化,应用语言学,汉语言文学）</t>
  </si>
  <si>
    <t>职位描述1、学习互联网广告公司（抖音、必应等）产品的理念、功能、应用场景及落地；2、学习公司理念和团队管理，项目执行落地经验；3、总经理直接带教，出席各种商业谈判和沙龙，拓宽高端人脉；4、负责公司内部各部门负责人之间的沟通协调，以达到高效推进项目，解决问题；5、迅速从基层向中层管理岗蜕变，能独立承接业务并完成业务输出；6、关注客户的使用情况，为客户提供运营支持服务，提高客户组织的活跃度；7、完成上级领导交代的其他任务；职位要求1、统招一本本科学历，985/211院校，工作经验1年及以上，互联网广告行业经验优先；2、有非常强的学习能力，较强的文字功底，形象气质佳；3、价值观正向、开放热情，对商业、组织有强烈的好奇心；4、较强的思考及创造力，能够超出现有框架提出并落地增值建议；5、对为客户创造价……</t>
  </si>
  <si>
    <t>360广告销售（学历：大专专业要求：无）</t>
  </si>
  <si>
    <t>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t>
  </si>
  <si>
    <t>会展项目执行及管理（学历：大专专业要求：无）</t>
  </si>
  <si>
    <t>总经理助理（学历：大专专业要求：无）</t>
  </si>
  <si>
    <t>广告设计（学历：大专专业要求：无）</t>
  </si>
  <si>
    <t>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在公众物业管理领域，明华在上海乃至国内……</t>
  </si>
  <si>
    <t>展馆管理（学历：大专专业要求：无）</t>
  </si>
  <si>
    <t>行政助理（学历：大专专业要求：无）</t>
  </si>
  <si>
    <t>岗位职责在带教人指导下，协助完成日常行政事务、文档处理、信息整理及基础沟通协调工作，同时熟悉办公流程与职场规范，提升基础办公技能。1.文档处理与资料管理-协助进行文档的录入、排版、打印、复印与装订，确保文档格式规范、内容准确。-参与资料的整理与归档，2.日常行政事务协助-负责办公区域的基础后勤支持，如整理办公环境、补充办公用品（笔、纸、打印机耗材等）、登记领用情况。-协助接待来访人员，做好引导、登记，通知相关同事对接；3.信息整理与数据统计-协助收集、整理各类基础信息，按照要求进行简单的分类与汇总。-及时更新基础信息台账，保证信息的时效性。4.沟通协调与事务跟进-协助在部门内部或跨部门间传递文件、传达简单通知，确保信息传递及时。-跟进简单事务的进展（如待办事项、任务反馈等），并向带教人或上级……</t>
  </si>
  <si>
    <t>工程技术（学历：初中及以下专业要求：无）</t>
  </si>
  <si>
    <t>樱帆电竞成立于2015年8月，以电竞赛事组织策划执行和直转播节目制作为业务核心。赛事组织板块已经完成过2018年雅加达亚运会、2018-2019年WESG全球总决赛、2019-2024OPL职业联赛等各类国内外高级别比赛的赛事组织工作，时至今日樱帆电竞已经完成超过500个游戏项目赛事组织执行工作。2021年公司成立直转播节目制作业务板块，完成了征途全民争霸赛总决赛暨年终盛典、三届永……</t>
  </si>
  <si>
    <t>电竞赛事直转播播控岗位实习生（学历：大专专业要求：广播电视学,广播电视,广播影视节目制作,广播电视编导）</t>
  </si>
  <si>
    <t>一、职位概述参与电竞赛事直转播工作，协助专业团队确保赛事直播的顺利进行。二、主要职责1.直播协助●深度参与电竞赛事直转播过程中的播控操作工作，包括但不限于设备的开启与关闭、信号切换、画面调整等。●密切监控直播信号，及时发现并反馈直播中的异常情况，确保直播质量。2.学习提升●学习电竞赛事直转播的流程和技术，熟悉各类播控设备的使用。●参加内部培训，提升专业技能和对电竞行业的认知。3.资料整理●整理电竞赛事直转播相关的技术资料和数据记录。●协助撰写简单的直播报告。4.播控任务●完成上级交办的其他与电竞赛事直转播播控相关的工作。内容包含但不限于导播切台、VCR、字幕机等。三、任职要求1.专业背景●传媒、广播电视、数字媒体技术、电子竞技等相关专业优先。2.技能要求●具备一定的计算机操作能力，熟悉常用办……</t>
  </si>
  <si>
    <t>电竞赛事实习导演（学历：大专专业要求：影视编导,新闻传播学类,新闻与传播,新闻传播学）</t>
  </si>
  <si>
    <t>岗位概述：作为公司导演及创意方向的核心管培生，你将参与到行业细分领域最头部的各项电竞赛事及内容节目的全流程导演工作中。我们希望你具备自主学习、钻研创新、吃苦耐劳的优秀品质和能力，对游戏和电竞内容抱有浓厚兴趣与较高审美。公司会针对管培安排包含培训、考核、轮岗等多样化的培养计划，并对表现优秀者优先招聘录用。一、岗位职责：1.【创意策划】：协助总导演对接产品相关的线上线下活动的前期创意策划，能够根据客户的需求，协助分析赛事或活动举办的底层逻辑；2.【筹备推进】：根据策划方案，协助总导演深化产出流程RD、视觉包装设计等创意落地方案，协助并确保各项产出匹配预期规划，保证项目顺利完成；3.【沟通协作】：协助总导演做好内外部的沟通管理与协调工作。在跨部门协作中，能够帮助总导演做到及时高效精准的信息沟通，保……</t>
  </si>
  <si>
    <t>电竞赛事执行（学历：大专专业要求：体育学类,广播影视节目制作,文化服务类,广告学）</t>
  </si>
  <si>
    <t>一、游戏硬性要求：包括但不限于以下两款游戏，可接受入职之后再熟悉拳皇KOF全系列【1、拳皇KOF全系列（97-15均可），街霸6，铁拳等游戏，以上游戏单产品游戏时长50小时以上】【2、瓦罗兰特，游戏段位要求达到超凡】二、岗位要求：1、有拳皇系列&amp;街霸6等格斗游戏经验的优先；2、有国内城市办赛经验者优先；3、熟练excel、word、PPT等日常办公软件；4、熟悉市场主流游戏的游戏机制和赛事规则；5、具有一定沟通、抗压能力，擅长对接及协助工作；三、任职要求1.专业背景●传媒、广播电视、数字媒体技术、电子竞技等相关专业优先。2.技能要求●具备一定的计算机操作能力，熟悉常用办公软件。●对电竞有浓厚兴趣，了解电竞赛事直播特点。3.态度品质●工作认真负责，细心耐心，有较强的学习能力和团队合作精神。4.……</t>
  </si>
  <si>
    <t>上海天安轴承有限公司为上海电气集团旗下上海集优机械有限公司的全资企业，位于上海市闵行区莘庄工业园区银都路4399号，具有60多年的生产历史。公司专业生产具有高精度、高转速、高灵敏度、低噪音、长寿命的微型轴承，并对轴承产品进行技术开发和产品售后服务。产品广泛运用于航空航天、工业装备、汽车医疗等行业，性能达到国际领先水平。近几年公司大力支持国家航天事业，已为“天……</t>
  </si>
  <si>
    <t>数控操作（学历：大专专业要求：无）</t>
  </si>
  <si>
    <t>电气维修（学历：大专专业要求：无）</t>
  </si>
  <si>
    <t>设备维修（学历：大专专业要求：无）</t>
  </si>
  <si>
    <t>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加行为医疗机构、科……</t>
  </si>
  <si>
    <t>安装维护（学历：大专专业要求：无）</t>
  </si>
  <si>
    <t>销售助理（学历：大专专业要求：无）</t>
  </si>
  <si>
    <t>技术支持（学历：大专专业要求：无）</t>
  </si>
  <si>
    <t>上海置道液压控制技术有限公司自2005年成立以来，致力于拥有自主知识产权和行业核心竞争力的专业液压控制系统集成供应商，是国家高新技术企业，上海市专精特新重点企业，创新型科技企业。公司集“研发、设计、生产、销售及系统工程服务”于一体，主要业务涉及电力、新能源、化工、钢铁、船舶等领域，现正积极研究和拓展智能化电液系统集成业务。公司技术和管理人员主要来自国际知名大公司及国内著名大型……</t>
  </si>
  <si>
    <t>质检员（学历：本科专业要求：无）</t>
  </si>
  <si>
    <t>行政助理（学历：本科专业要求：行政管理,人力资源管理,文秘类）</t>
  </si>
  <si>
    <t>调试及服务人员（学历：大专专业要求：机械工程,机械设计制造及其自动化,机械制造及其自动化,机械设计及理论,机械设计与制造,机械制造与自动化,机械装备制造技术,船舶机械工程技术,机械类,机械）</t>
  </si>
  <si>
    <t>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迄今为止，澳康达发展成为一个全球知名的二手车独立经销商。2013年投入使用的深圳澳康达名车广场，首创了自有品牌+自建物业+自主经营的二手车发展之……</t>
  </si>
  <si>
    <t>汽车学徒（学历：中专/技校专业要求：无）</t>
  </si>
  <si>
    <t>销售顾问（学历：大专专业要求：无）</t>
  </si>
  <si>
    <t>客服管培生（学历：大专专业要求：无）</t>
  </si>
  <si>
    <t>八O二所，是我国从事精确制导、光电近程探测、空间探测与遥感、数据通信、电磁散射辐射与环境效应、智能交通与探测、智能制造、智慧安防等领域技术研究、产品研制试验与生产的国家重点科研单位。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t>
  </si>
  <si>
    <t>无线电调试岗（学历：大专专业要求：无）</t>
  </si>
  <si>
    <t>机械装配岗（学历：大专专业要求：无）</t>
  </si>
  <si>
    <t>通信系统总特设计师（学历：博士专业要求：无）</t>
  </si>
  <si>
    <t>科技馆店员（学历：大专专业要求：无）</t>
  </si>
  <si>
    <t>技术服务实习生（学历：大专专业要求：无）</t>
  </si>
  <si>
    <t>研学交付实习生（学历：大专专业要求：无）</t>
  </si>
  <si>
    <t>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t>
  </si>
  <si>
    <t>暖通设计师（学历：大专专业要求：建筑环境与能源应用工程,能源与动力工程,供热通风与空调工程技术,环境工程,建筑设备工程技术,土木工程）</t>
  </si>
  <si>
    <t>（一）岗位要求​学历与专业​本科及以上学历，建筑环境与能源应用工程、能源与动力工程（建筑环境方向）、土木工程（建筑设备方向）等相关专业。​成绩优良，核心课程（暖通空调、供热工程、通风工程、建筑节能技术等）无挂科记录。​知识与技能​掌握暖通系统设计基础理论，了解《民用建筑供暖通风与空气调节设计规范》等行业标准；​能熟练使用AutoCAD绘制暖通图纸，具备Revit、鸿业暖通等设计软件基础操作能力者优先；​了解BIM技术在暖通设计中的应用，有课程设计、毕业设计（如办公楼空调系统设计）经验者优先。​素质与能力​具备较强的逻辑思维与方案梳理能力，能清晰表达设计思路；​工作严谨细致，有责任心，具备团队协作意识；​主动学习行业新技术（如绿色建筑、智能暖通），适应项目型工作节奏。​其他​持有CAD工程师认……</t>
  </si>
  <si>
    <t>中央空调维修技术员（学历：大专专业要求：制冷与空调技术,供热通风与空调工程技术,机电设备安装技术,建筑智能化工程技术,机电一体化技术）</t>
  </si>
  <si>
    <t>（一）岗位要求​学历与专业​大专及以上学历，供热通风与空调工程技术、机电一体化技术、建筑设备工程技术等相关专业。​知识与技能​掌握中央空调系统（水冷机组、风冷热泵、VRV多联机等）的工作原理与组成结构；​能使用万用表、钳形表等工具检测电气故障，了解制冷系统打压、抽真空、加氟等基础操作；​熟悉中央空调控制系统（如PLC、变频控制）基础原理者优先，有金工实习、设备拆装实训经验者优先。​素质与能力​动手能力强，能适应一定的现场作业（如机房巡检、设备维修）；​具备较强的问题排查能力与应急处理意识，能清晰记录维修过程；​吃苦耐劳，服从工作安排（部分项目需短途出差或轮班巡检）。​其他​持有制冷与空调作业特种作业操作证（低压电工证）者优先；​参与过高校机电设备维修竞赛、实习期间从事过中央空调运维工作者优先……</t>
  </si>
  <si>
    <t>造价工程师（学历：大专专业要求：建筑环境与能源应用工程,工程造价,能源与动力工程,供热通风与空调工程技术,建设工程管理,建筑工程技术）</t>
  </si>
  <si>
    <t>（一）岗位要求​学历与专业​本科及以上学历，工程造价、建筑环境与能源应用工程、土木工程等相关专业。​熟悉暖通设备（空调机组、风机、散热器等）型号与市场价格者优先。​知识与技能​掌握工程造价基础理论，了解《建设工程工程量清单计价规范》，能识别暖通工程图纸；​能熟练使用广联达、鲁班等造价软件进行工程量计算与套价，有课程设计（如暖通工程预算编制）经验者优先；​了解暖通工程施工流程，能结合施工工艺分析造价组成。​素质与能力​具备较强的数据分析能力与细节把控能力，对数字敏感；​沟通表达清晰，能与设计、施工团队协同对接造价问题；​学习能力强，愿意主动了解建材市场价格波动与政策调整（如增值税率变化）。​其他​持有二级造价工程师（基础科目）合格证明者优先；​参与过高校工程造价竞赛、实习期间接触过暖通预算工作……</t>
  </si>
  <si>
    <t>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t>
  </si>
  <si>
    <t>新媒体运营-偏拍摄/剪辑文案（学历：大专专业要求：电子信息科学与技术,数字媒体技术,电子与计算机工程）</t>
  </si>
  <si>
    <t>岗位职责：1、强摄影及修图能力，负责配合小红书平台运营的摄影摄像；2、负责抖音、视频号等公司各平台的信息流短视频拍摄、剪辑、画面包装、调色、声音处理、字幕、特效合成等；3、负责新媒体平台运营及文案撰写（微博、微信、公众号、抖音等）；4、负责新媒体平台的内容选取、编辑、发布；5、负责平台粉丝招募和维护；6、负责活动内容质量和传播度；7、负责新媒体产品挖掘与运营，及时掌握同行业新媒体动向，与现公司业务相结合，进行网络营销推广，及时反馈对公司的相关信息；8、参与视频创作团队完成视频内容创意策划。对素材进行整理和分类，优化与内容策划的协作流程，提高整体输出视频效率；建立并完善新媒体资源库；9、配合制作公司各类宣传海报、酷家乐软件渲然图片等工作；10、认真完成领导交代的其他工作。任职要求：1、强摄影摄……</t>
  </si>
  <si>
    <t>全屋定制销售顾问（学历：大专专业要求：土木工程,建筑学,城市设计）</t>
  </si>
  <si>
    <t>岗位职责：1、对家装有一定了解，为客户提供全屋定制及软装搭配服务；2、熟悉全屋定制全套流程，精准捕捉客户全屋定制需求；3、为客户提供专业的一对一服务，解决客户售前产品咨询，售中对接设计师服务，售后等各类问题反馈，衔接售后部的上门服务需求；4、意向客户的定期追踪维护，定期向部门负责人进行汇报，并转化客户需求及设计服务；5、具备对接客户需求，能独立上门测量，且能现场及时有效沟通反馈；6、能够清晰把握客户方向，并讲解设计方案，能为客户提供全屋定制设计方案对接；7、对接工厂，设计师及安装团队，跟踪订单生产进度，确保按时交付，能处理安装过程中的突发问题；8、交付后定期回访，收集满意度反馈，推动复购或转介绍；9、有操作酷家乐软件能力，优先考虑；10、完成领导交代的其他工作，以及团队间的项目配合。任职要求……</t>
  </si>
  <si>
    <t>软装设计师（学历：大专专业要求：建筑设计及其理论,建筑设计,家具设计与制造）</t>
  </si>
  <si>
    <t>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搭配方案，跟进及协调客户订单完成；4、按照公司销售服务标准为客户提供优质服务，提升品牌形象；5、了解客户对公司产品及各环节服务评价或期望并反馈给公司及上级，为提升客户消费体验提供改进方向；6、更新公司软装方案模板，为客户提供更多优质的设计选择；7、具备良好的团队合作精神，有责任心，进取心；8、遵纪守法，有职业道德，并遵守公司各规章制度；9、完成上级下达的各项工作指令。任职要求：1、20岁以上，男女不限；艺术设计类大专以上学历；2、1年以上软装设计工作经验，具备硬装设计经验优先考虑；3、……</t>
  </si>
  <si>
    <t>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公司主要业务：一、“三化”工程业务1.智能化工程及维保，含道闸、门禁、监控、LED显示屏、远程智能控制系统、预付……</t>
  </si>
  <si>
    <t>CAD制图员（学历：大专专业要求：无）</t>
  </si>
  <si>
    <t>技术员（学历：本科专业要求：无）</t>
  </si>
  <si>
    <t>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飒智智能以上海为总部，在深圳、天津等重要城市设立子公司，并构建以欧洲、东南亚、北美为支点的全球业务辐射网络，……</t>
  </si>
  <si>
    <t>大客户经理（学历：大专专业要求：工商管理,市场营销,国际经济与贸易,国际贸易学）</t>
  </si>
  <si>
    <t>岗位职责1.协助资深销售对接头部企业客户，参与客户需求调研、方案沟通与商务谈判，快速熟悉大客户销售全流程。2.负责客户信息整理与维护，建立客户档案，跟踪客户合作进度，辅助完成订单跟进与回款协助工作。3.参与市场竞品分析与行业动态收集，输出简易分析报告，为大客户销售策略制定提供数据支持。4.完成管培生专项培养计划，包括产品知识培训、销售技巧实战演练、跨部门轮岗（任职要求1.2026届全日制本科及以上学历，专业不限，市场营销、工商管理、国际贸易等相关专业优先。2.具备强烈的目标感与抗压能力，愿意挑战高薪，对ToB大客户销售工作有明确兴趣与热情。3.拥有优秀的沟通表达与逻辑思维能力，能清晰传递信息，快速理解客户需求，有校园社团管理、大型活动组织或销售相关实习经历者优先。4.学习能力强，具备团队协作……</t>
  </si>
  <si>
    <t>复合机器人一体化规划控制开发工程师（学历：硕士专业要求：无）</t>
  </si>
  <si>
    <t>机器人调试工程师（学历：大专专业要求：无）</t>
  </si>
  <si>
    <t>岗位职责：1、负责现场工业、服务机器人系统的安装集成、编程调试，优化节拍，使其能满足客户的批量生产要求；2、负责调整周边自动化系统以使整个机器人系统能顺利运行；3、机器人轨迹、精度以及节拍达到技术协议要求；4、编写项目操作说明书，以及维护说明书；5、配合机械工程师完成项目设计；前期项目设计的参与、项目生产制作的跟进参与、后期项目安装实施的操作；6、完成机器人售后维护及服务工作。任职要求：1、机电一体化、机械工程、自动控制、测控技术、电气等相关专业大专以上学历；2、熟悉plc编程和实际应用；3、具有3年及以上工作经验；4、了解各类常见的工业总线,对标准自动化设备有一定了解；5、了解市场上常用的机器人品牌，如ABB.Fanuc.KUKA.Motoman,有过机器人操作经验者优先；6、身体素质佳，……</t>
  </si>
  <si>
    <t>上海三菱电梯有限公司上海分公司（营业执照名称为：上海三菱电梯有限公司安装维修分公司，以下简称：公司）成立于1992年4月，隶属于上海三菱电梯有限公司，专业从事上海三菱电梯有限公司和日本三菱电机株式会社制造的各型号电梯、自动扶梯产品销售、安装、维修、改造、保养、备件销售等业务，具备国家特种设备安装改造维修A级资质。公司坐落于上海昌化路649号。通过30多年的发展，上海三菱电梯有……</t>
  </si>
  <si>
    <t>电梯维修保养岗位（学历：大专专业要求：无）</t>
  </si>
  <si>
    <t>维保管理内勤（学历：大专专业要求：无）</t>
  </si>
  <si>
    <t>维保管培生（学历：本科专业要求：机电一体化技术）</t>
  </si>
  <si>
    <t>市场助理（学历：大专专业要求：无）</t>
  </si>
  <si>
    <t>销售/二手车实习生（学历：大专专业要求：无）</t>
  </si>
  <si>
    <t>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公司作为汽……</t>
  </si>
  <si>
    <t>交付类管培生（学历：大专专业要求：电线电缆制造技术,机械设计制造及其自动化,数学,统计学）</t>
  </si>
  <si>
    <t>技术管培生（学历：本科专业要求：电线电缆制造技术,电气工程及其自动化,机械工程）</t>
  </si>
  <si>
    <t>营销管培生（学历：本科专业要求：日语,商务日语,应用日语,英语,商务英语,应用英语）</t>
  </si>
  <si>
    <t>集团简介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我们主要经营汽车销售服务、二手车、汽车金融、汽……</t>
  </si>
  <si>
    <t>财务实习生（学历：大专专业要求：无）</t>
  </si>
  <si>
    <t>服务顾问实习生（学历：大专专业要求：无）</t>
  </si>
  <si>
    <t>售后技术实习生（学历：大专专业要求：无）</t>
  </si>
  <si>
    <t>项目经理助理（学历：大专专业要求：项目管理）</t>
  </si>
  <si>
    <t>Unity开发工程师（学历：大专专业要求：智能制造工程,计算机科学与技术,工业机器人技术）</t>
  </si>
  <si>
    <t>3D建模师（学历：大专专业要求：文化创意与策划,智能工程与创意设计）</t>
  </si>
  <si>
    <t>上海星微源科技有限公司是一家民营高技术公司，从事高端应用领域（航空、航天、医疗、高端仪器）用高可靠电源、物理电子器部件及其系统集成的技术研发，相关技术基础国内领先。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t>
  </si>
  <si>
    <t>电源研发岗（学历：硕士专业要求：机械电子工程,电气工程及其自动化,电子信息工程,电力电子与电力传动,电子电路设计与工艺,电子与信息,新一代电子信息技术(含量子技术等)）</t>
  </si>
  <si>
    <t>详细岗位职责(符合下列任一要求即可应聘)1，负责开关电源、射频电源开发设计、调试和验证等工作，包括电路设计、器件选型、电路仿真、技术资料编制等；2，负责磁性元件的设计选型及性能改善；3，从事DC/DC或AC/DC模块电源产品的硬件电路设计、售前、售后技术支持等工作。任职资格理论知识1，电力电子技术2，功率射频技术3，电源拓扑理论知识4，模拟电路5，数字电路6，自动控制原理专业技能1，熟悉常见开关电源拓扑，包括Buck，Boost,反激等。2，熟悉模拟电路设计，包括LDO、运算放大器；3，熟悉AltiumDesigner、Cadence等一种或多种设计软件；4，熟悉PSIM、Simplis/Saber、Matlab等一种或多种电力电子仿真软件；5，能够熟练使用示波器、信号发生器等仪器仪表，具备……</t>
  </si>
  <si>
    <t>电子综合岗（学历：本科专业要求：机械电子工程,电子信息工程,航空电子电气技术,电子信息工程技术,应用电子技术）</t>
  </si>
  <si>
    <t>详细岗位职责(符合下列任一要求即可应聘)1）开关电源及线性电路设计；（设计岗，本科及以上）2）嵌入式开发；（设计岗，本科及以上）3）真空物理电子学器件研发；（设计岗，本科及以上）3）结构设计；（设计岗，本科及以上）4）电子装联电子产品调试、测试（含微组装）；（工艺师岗，本科及以上）5）电子产品调试、测试、环境试验。（操作岗，大专以上）任职资格理论知识1）模电、数电（FPGA、DSP，VHDL、C编程）、开关电源；2）嵌入式开发（C编程）；3）物理电子学、微波电子学4）热、力有限元仿真；5）机械制图；6）电子装联工艺。专业技能1）模电、功率电路设计、仿真；2）VHDL编程、单片机编程；3）ADS、HFSS等软件应用；4）电子光学、注波互作用软件应用；5）机械设计(Pro/E、Ug、Solidw……</t>
  </si>
  <si>
    <t>人事行政助理（学历：大专专业要求：企业管理（含：财务管理、市场营销、人力资源管理））</t>
  </si>
  <si>
    <t>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t>
  </si>
  <si>
    <t>储备技术员（学历：大专专业要求：机械设计制造类,电子信息类）</t>
  </si>
  <si>
    <t>电子设计电子信息、电子科学与技术、信息与通信工程、物理、光学等　阵列设计电子信息、材料、物理、自动化、微电子电路设计物理、电子信息、材料、自动化、微电子结构设计机械、自动化、力学、材料、仪器、航空航天等理工类　光学设计材料、化学、光学、物理、电子信息、微电子等　传感器工艺(1550)工艺技术岗自动化、材料、化学、机械、仪器、力学等理工类CIM岗计算机、信息管理、自动化、电子信息等制造支持岗计算机、机械、自动化、电子信息、工业工程等设备岗自动化、机械、材料、仪器、电气等理工类质量岗材料、化学、仪器、光电、机械等理工类　厂务岗化学、环境、电气、机械、能源与动力等环安岗安全工程、化工、消防、电气、机械等理工类　</t>
  </si>
  <si>
    <t>工艺工程师（学历：本科专业要求：无）</t>
  </si>
  <si>
    <t>类别岗位名称相关专业学历招聘区域厦门上海浦东上海浦西武汉G6武汉G4.5深圳成都研发(650)电子设计电子信息、电子科学与技术、信息与通信工程、物理、光学等本科/硕士/博士√√√√√√　阵列设计电子信息、材料、物理、自动化、微电子本科/硕士/博士√√√√电路设计物理、电子信息、材料、自动化、微电子本科/硕士/博士√√√√结构设计机械、自动化、力学、材料、仪器、航空航天等理工类本科/硕士/博士√√√√√√　光学设计材料、化学、光学、物理、电子信息、微电子等本科/硕士/博士√√√√√√　传感器开发岗电子科学与技术、微电子、物理学、电子信息（集成电路设计与集成系统/柔性电子学等）硕士　√　材料开发岗材料、光学、物理、显示器件、高分子、有机化学等相关专业本科/硕士/博士√√√器件开发岗物理、……</t>
  </si>
  <si>
    <t>采购部实习生（2026届）（学历：大专专业要求：无）</t>
  </si>
  <si>
    <t>运营部实习生（2026届）（学历：本科专业要求：无）</t>
  </si>
  <si>
    <t>工程技术实习生（2026届）（学历：大专专业要求：无）</t>
  </si>
  <si>
    <t>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企业承担“弹、箭、星、船、器”共30多个型号产品的研制生产任务，为我国航天事业的发展做出了卓越贡献，获得了全国五一劳动奖状、中国载人航天工程突出贡献集体、载人航天……</t>
  </si>
  <si>
    <t>阀门装配试验工（学历：大专专业要求：无）</t>
  </si>
  <si>
    <t>无线电装调工（学历：大专专业要求：无）</t>
  </si>
  <si>
    <t>机电总体设计师（学历：博士专业要求：无）</t>
  </si>
  <si>
    <t>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t>
  </si>
  <si>
    <t>电商客服（学历：大专专业要求：无）</t>
  </si>
  <si>
    <t>岗位职责：1．负责公司电商平台店铺的在线客服接待，提供及时、专业的售前与售后服务；2．准确理解客户需求和产品信息，确保回复内容清晰、无误，避免因信息传达错误导致的客户流失或投诉；3．日常收集整理客户反馈，包括登记客户问答、邀请客户评价、了解退换货原因，并处理客户投诉及安抚工作；4．与运营、技术、仓储、售后等人员保持顺畅沟通，及时传达活动安排，库存变化、产品更新等相关信息；5．尝试从对话中发现客户的真实需求或困惑，并将有价值的反馈传递给产品或运营团队；6.负责售后货物的信息核对、收货登记及入库相关流程，并定期汇总售后货物的情况；7.参与客户体验优化相关工作，如服务流程规范，客服话术更新、服务满意度提升等。岗位要求：1．2026届毕业生，大专及以上学历，专业不限；2．具备良好的沟通能力和团队合作……</t>
  </si>
  <si>
    <t>外贸专员（学历：本科专业要求：无）</t>
  </si>
  <si>
    <t>技术研发类（学历：本科专业要求：无）</t>
  </si>
  <si>
    <t>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自成立以来，游匠始终站在电竞行业的最前沿，依托强大的技术支撑和丰富的平台资源，构建涵盖内容创作、形象塑造到粉丝运营……</t>
  </si>
  <si>
    <t>经纪人/星探/运营（学历：初中及以下专业要求：无）</t>
  </si>
  <si>
    <t>岗位职责：1.发掘潜力主播：通过各大直播平台、社交媒体等渠道，寻找有潜力的FPS游戏主播，评估其直播风格、技术水平及粉丝互动能力。2.签约与谈判：与目标主播沟通，达成合作意向，完成签约流程，确保双方权益。3.主播培养：协助新签约主播制定直播计划，提供内容建议，帮助其提升直播效果与粉丝粘性。4.数据分析：跟踪主播的直播数据（如观看人数、互动率等），定期分析并优化运营策略。5.资源对接：为主播争取平台推荐位、活动资源等，提升曝光率。6.维护关系：与主播保持良好沟通，解决其直播中的问题，确保长期合作。任职要求：1.热爱FPS游戏：熟悉《无畏契约》、《三角洲》等FPS游戏，了解游戏圈动态及玩家需求。2.行业经验：有直播行业、电竞行业或艺人经纪相关经验者优先。3.敏锐洞察力：能快速识别有潜力的主播，判……</t>
  </si>
  <si>
    <t>HR招聘专员（游戏向）（学历：初中及以下专业要求：企业管理（含：财务管理、市场营销、人力资源管理））</t>
  </si>
  <si>
    <t>视频编导（有真人向破圈经验）（学历：初中及以下专业要求：无）</t>
  </si>
  <si>
    <t>果栗智造(上海)技术股份有限公司成立于2015年，拥有实力雄厚的研发中心和制造中心，专注于磁悬浮驱动传输技术的研发与创新，是行业领先的智能柔性传输系统解决方案供应商。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t>
  </si>
  <si>
    <t>生产储备干部（学历：大专专业要求：机械工程,自动化）</t>
  </si>
  <si>
    <t>岗位职责：1、此岗位在生产线实际岗位上历练，通过实际生产作业岗位，学习到生产工艺、技术及品质要求，能够短时间内迅速上岗，并能独立应对生产作业相关问题；2、具备较强的学习能力、沟通协调能力；3、本岗位为公司长期发展而培养公司生产工程技术、一线管理、品质监管等岗位，平台好、发展潜力岗位。岗位要求：1、能吃苦耐劳，愿意从基层岗位踏实做2、全日制大专及以上学历（优秀应届生亦可），如“机械自动化、机电一体化专业、应用电子技术专业、信息工程、电子工程相关专业更佳；3、沟通表达能力强，心态阳光，团队协作意识强，有很强的执行力及责任心。晋升路径：路径一：管理路径：员工--主管--经理--总监专业路径：实习--初级--中级--高级--专家公司福利：餐费补贴、交通补贴、实习宿舍、员工食堂年终奖金、五险一金、带薪……</t>
  </si>
  <si>
    <t>储备技术员（学历：大专专业要求：机械工程,自动化,电气工程及其自动化）</t>
  </si>
  <si>
    <t>【工作内容】-负责协助技术团队完成设备调试、维护及日常运行管理工作；-参与生产流程优化和技术方案的实施，提升工作效率和产品质量；-协助进行技术资料的整理与归档，确保信息准确性和可追溯性；-配合团队完成项目任务，积极参与团队协作与沟通，推动项目顺利推进；-定期参与岗位培训与技能提升课程，不断提升自身专业能力与综合素质；-根据工作安排，完成上级交办的其他相关技术支持任务。【任职要求】-大专及以上学历，机械一体化相关专业；-有较强的责任心和团队意识，能够服从工作安排并积极融入团队；-无需相关工作经验，欢迎应届毕业生或具备潜力的求职者加入；晋升路径：路径一：管理路径：员工--主管--经理--总监专业路径：实习--初级--中级--高级--专家公司福利：餐费补贴、交通补贴、实习宿舍、员工食堂年终奖金、五……</t>
  </si>
  <si>
    <t>技术管理储备生(研发方向)（学历：大专专业要求：机械工程,自动化）</t>
  </si>
  <si>
    <t>岗位职责：1、按要求完成各阶段培训，迅速融入企业文化，掌握必备知识技能；2、根据部门要求，在导师指导下，完成专业知识和技能的学习储备；3、积极参与部门具体业务工作，完成储备期间各个岗位的工作任务；4、负责研发过程中的异常问题汇总，反馈、处理等工作；5、负责对样品制作过程中的质量问题进行优化改进；6、有一定的团队管理能力，能积极主动帮助团队成长，并提出合理化建议；7、完成部门领导或导师交办的其他工作任务。任职要求：1、2026届应届毕业生，大专及以上学历，机械工程、自动化等相关专业优先；2、无需相关工作经验，欢迎应届毕业生或具备潜力的求职者加入；3、具有较强的团队合作能力和沟通意识，较强的抗压能力；4、拥有良好的学习能力和创新能力。晋升路径：路径一：管理路径：员工--主管--经理--总监专业路……</t>
  </si>
  <si>
    <t>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t>
  </si>
  <si>
    <t>分公司体育中心前台（学历：初中及以下专业要求：无）</t>
  </si>
  <si>
    <t>售前售后技术支持人员（学历：初中及以下专业要求：无）</t>
  </si>
  <si>
    <t>副总秘书（学历：初中及以下专业要求：电子商务类,计算机信息管理,计算机类,计算机科学与技术,秘书学）</t>
  </si>
  <si>
    <t>朴维科技成立于2011年，国家高新技术企业。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t>
  </si>
  <si>
    <t>安装调试工程师（学历：大专专业要求：自动化,机电一体化技术,工业机器人技术,工业智能）</t>
  </si>
  <si>
    <t>装配技术员（学历：大专专业要求：自动化,机电一体化技术,工业机器人技术,工业智能）</t>
  </si>
  <si>
    <t>管培生（学历：大专专业要求：电气工程及其自动化,机电一体化技术,工业机器人技术,智能制造技术）</t>
  </si>
  <si>
    <t>上海汉尼生物细胞技术有限公司（ShanghaiHarmonyCellTechnologyCo.,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t>
  </si>
  <si>
    <t>市场专员（学历：本科专业要求：生物科学,生物工程,生物技术,微生物学）</t>
  </si>
  <si>
    <t>市场经理助理（学历：本科专业要求：生物科学,生物技术,微生物学,制药工程）</t>
  </si>
  <si>
    <t>销售工程师（试剂耗材类）（学历：大专专业要求：无）</t>
  </si>
  <si>
    <t>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公司建成了华东地区最大的复合材料生……</t>
  </si>
  <si>
    <t>检验员（学历：大专专业要求：无）</t>
  </si>
  <si>
    <t>技能实习生（学历：大专专业要求：无）</t>
  </si>
  <si>
    <t>工艺员（学历：硕士专业要求：材料科学与工程,复合材料与工程,材料学,纺织材料与纺织品设计,高分子材料工程技术,机械设计制造及其自动化,一般力学与力学基础,工程力学）</t>
  </si>
  <si>
    <t>工作职责：1、负责碳纤维复合材料零件的成型工艺技术、复合材料的机械加工技术及复合材料部组件的胶接装配工艺技术的研发和现场调试工作（工艺参数的开发、操作规范编制、产品胶接装配工艺）；2、参与新技术、新工艺、工艺改进等课题研究、试验验证、总结工作（工艺改进项目立项、开展试验、项目总结）；3、协助参与复合材料部组件胶接装配所需要的模具和工装、检具的设计开发；4、按照上级设计输入和公司技术标准开展工作，完成上级交办的其它工作。任职资格：1、机械类专业、复合材料类专业、材料类等专业硕士及以上学历；2、了解复合材料成型工艺、结构件加工工艺；3、具有读图和绘图能力，熟练运用Proe、CAD等绘图软件；4、具备技术文件编写能力，能熟练使用计算机办公软件；5、善于团队合作，协调沟通能力强、工作有耐心、有责任感……</t>
  </si>
  <si>
    <t>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我们提供：职业发展及培训：大学生“1+3+5”培……</t>
  </si>
  <si>
    <t>项目经理（学历：本科专业要求：电气类,机械类）</t>
  </si>
  <si>
    <t>1、合同管理。负责实行项目合同的分解，编制计划并下发；2、协调合同附带监造计划的签订，就监造过程中发生的重大质量、技术问题与质保部、甲方或业主沟通；3、根据公司项目计划，对项目的进度、质量进行全方位跟踪并控制，考核项目的节点，并对产品的发货进行通知；4、项目的管理，保证项目合同执行的符合性，并对项目准点交货进行控制；5、项目风险评估与控制，了解项目进展及审批情况；6、及时跟踪项目执行过程中的设计、工艺、质保、采购、制造、试验、装箱、发货直至项目验收。专业要求：电气类（电气工程及其自动化/电机与电器）机械类（机械工程及其自动化）任职要求：1、学历本科及以上；2、本科英语CET-4；研究生英语CET-6；口语良好；3、熟练操作计算机；4、有较强的承受压力的能力；较高的学习能力和适应能力；富有团队……</t>
  </si>
  <si>
    <t>生产制造培训生（学历：本科专业要求：机械类,电气类,工业工程）</t>
  </si>
  <si>
    <t>售后服务工程师（学历：本科专业要求：电气类,机械类）</t>
  </si>
  <si>
    <t>1、参加现场设备开箱，清点、检查设备数量及质量。对箱单进行各方现场签证，并收集。2、接受任务时问明任务内容及时做好准备工作，并先行与用户联系确认到达现场时间，一般项目须在24小时到达现场。3、及时准确的了解现场情况并进行工作上的问题处理，及时进行信息反馈。把握和纠正现场安装中存在的问题，组织推进现场服务和问题的及时处理。4、市场开拓：市场和客户开发及管理；5、服务业务承接及执行过程中销售相关工作，包括不限于标书制度、订单签订、销售、回款等。6、负责现场与客户之间的沟通、协调，数理公司的形象维护公司的信誉及利益。专业要求：电气、机械大类专业任职要求：1、学历本科及以上；2、本科英语CET-4；研究生英语CET-6；口语良好；3、熟练操作计算机；4、有较强的承受压力的能力；较高的学习能力和适应能……</t>
  </si>
  <si>
    <t>上海赞瑞实业有限公司，工信部国家级专精特新小巨人企业，国内消防救援服装行业的领导者、隐形冠军。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t>
  </si>
  <si>
    <t>销售管培生（学历：本科专业要求：无）</t>
  </si>
  <si>
    <t>主要职责：1）销售管培生将接受关于销售技巧、销售流程和销售策略的培训。2）销售管培生需要参与市场研究和竞争分析，以了解目标市场、竞争对手和潜在客户的需求。3）销售管培生需要与客户沟通，建立和维护客户关系，提供支持并满足客户需求。4）销售管培生通常会协助销售团队的成员，提供销售支持，协助准备销售提案、合同和报价。5）销售管培生需要记录销售活动、制定报告并分析销售绩效，以评估销售目标的达成情况。任职要求：1）本科及以上，尤其是与工商管理、市场营销、物流管理等相关的专业。2）沟通能力：出色的口头和书面沟通技能，能够与客户和团队有效交流。3）团队合作：具备良好的团队合作能力，能够与多个利益相关者协作。4）激情和动力：对销售领域有热情，愿意学习和不断提高销售技能。5）自我驱动：能够独立工作，积极主动，……</t>
  </si>
  <si>
    <t>平面设计师（学历：本科专业要求：服装设计与工程,艺术设计学,视觉传达设计,服装与服饰设计,设计艺术学,艺术设计,视觉传播设计与制作,广告设计与制作,产品艺术设计,设计学类）</t>
  </si>
  <si>
    <t>电商运营专员（学历：本科专业要求：国际经济与贸易,贸易经济,英语,网络与新媒体,传播学,广告学,新闻学,广播电视学,工商管理,市场营销）</t>
  </si>
  <si>
    <t>公司简介：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植根业界15载，我们的服务网络现已遍布全球106个国家599个城市。护航民族品牌走向世界，……</t>
  </si>
  <si>
    <t>管培生（学历：本科专业要求：无）</t>
  </si>
  <si>
    <t>文案编辑（学历：本科专业要求：无）</t>
  </si>
  <si>
    <t>餐饮店长助理（学历：初中及以下专业要求：无）</t>
  </si>
  <si>
    <t>蔚来于2014年11月成立于上海，致力于成为一家以用户为中心的“用户企业”，为用户创造愉悦的生活方式。经过五年多的发展，蔚来已成为全球领先的高端智能电动汽车企业之一。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t>
  </si>
  <si>
    <t>门店协同实习生（学历：大专专业要求：无）</t>
  </si>
  <si>
    <t>蔚来顾问实习生（学历：大专专业要求：无）</t>
  </si>
  <si>
    <t>蔚来顾问（学历：大专专业要求：无）</t>
  </si>
  <si>
    <t>职位描述1、准确地向用户传递并耐心讲解蔚来品牌与产品，并传递蔚来价值观；2、为用户提供全面的试驾服务体验，并不断增强现有用户品牌忠诚度；3、根据销售策略和团队目标，制定团队工作计划和目标分配，完成销售并向客户交付车辆；4、开展营销活动，不断创新、积极主动地吸引潜在用户；5、支持公司新店的开设，确保公司文化和价值观在新团队传承；6、承担内部培训师的角色，并根据业务发展需要，完成团队指定的其他工作。职位要求1、大专及以上学历；2、对销售数据敏感，优秀的数据分析能力和逻辑分析能力;3、优秀的沟通能力和谈判能力，良好的自我管理能力及自我学习能力；4、抗压能力强，能够应在高速发展的环境中开展销售管理工作，达到公司业结指标要求；5、认可蔚来汽车的创业公司文化，具备创业公司必要的心理素质；6、C1及以上驾……</t>
  </si>
  <si>
    <t>上海三枪（集团）有限公司简介三枪品牌历史介绍：上海三枪（集团）有限公司是东方国际旗下龙头股份下属的一家以发扬民族品牌“三枪”为核心优势的“老字号”品牌企业，公司集面料研发、针织生产、染整加工、面料测试能力、品牌销售于一体。上海三枪（集团）有限公司的母体企业是上海针织九厂，上海针织九厂的前身为莹荫针织厂，创建于1928年，董事长王衍庆、经理干庭辉。1936年，干庭辉在射击比赛中第三次夺冠，1……</t>
  </si>
  <si>
    <t>“三枪未来之星”管培生项目介绍“铸未来”是一种态度，也是一种能力的体现。“三枪未来之星”管培生项目志在吸纳、培养一批充满热血有干劲的大学生，通过零售工作实践变身多面手，三年内掌握经营百万营收店铺所需要的技能，逐步发展成为分公司经理——区域经理——三枪品牌合伙人。我们提倡完全实力主义，一切让能力和才华说话。你将走上零售行业发展的快车道，我们将和你一起挖掘潜力，打破边界，拥抱多元，实现价值。具体来说，工作职责包括：1.学习和掌握公司的产品和服务，了解行业趋势和市场需求；2.负责公司店铺资源的开发和运营，并建立和维护良好的客户关系；3.参与销售计划的制定和执行，制定合理的销售策略和计划；4.收集客户需求和市场信息，对市场变化做出快速响应；5.参与竞品分析和市场调研，为公司的销售策略提供数据支持和市……</t>
  </si>
  <si>
    <t>服装设计助理（学历：本科专业要求：服装设计与工程,服装与服饰设计）</t>
  </si>
  <si>
    <t>电商运营助理（学历：本科专业要求：电子商务）</t>
  </si>
  <si>
    <t>写在岗位职责之前：该岗位为运营助理/专员级的岗位，涉及到多个店铺平台的店铺运营，如天猫、京东、唯品会、猫超、拼多多等平台。如果您之前有一段时间的国内电商店铺运营经历；或者是21-22年应届生，但对店铺运营有一定的了解的认识；属于敢于拓展、外向大方，能够承担挑战和压力的人选，这个岗位会更适合您来应聘。我们的上班时间是9：00-17：00，坐五休二，试用期会有部门负责人制定阶段性成长、工作目标进行带教培养。（非本市户籍的应届大学生成功入职后，可提供员工宿舍）岗位职责：1、协助店长负责铺基础运营工作，提高店铺点击率和浏览量，完成店铺的销售目标；2、负责店铺活动提报、资源位争取及相应的执行跟进工作；3、负责与公司内外部对接沟通，进行相关资料图片整理和审核；4、对店铺销售情况进行评估，对店铺及产品访问量、转化率数据进行分析并做好竞争对手网站的数据的采集、评估与分析；5、对店铺的IP、PV、销量、跳出率、地域分布、转化率等做出专业的数据分析，及时对店铺运营进行改进；6、协助运营负责店铺推广，提高店铺点击率和浏览量，完成店铺销售目标。任职要求：1、本科及以上学历，专业不限，对电子商务有热情，有相关实……</t>
  </si>
  <si>
    <t>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t>
  </si>
  <si>
    <t>新媒体运营实习生/新媒体运营助理（学历：大专专业要求：无）</t>
  </si>
  <si>
    <t>汽车售后实习生（学历：大专专业要求：无）</t>
  </si>
  <si>
    <t>交付实习生（学历：大专专业要求：无）</t>
  </si>
  <si>
    <t>我们的“成长”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我们的业务我们的产业链不断扩大，迄今集团已拥有十多个制造实体，分布于上海、如皋、常州、……</t>
  </si>
  <si>
    <t>2025校招-工程岗（学历：本科专业要求：电气工程及其自动化,电气工程与智能控制,电气自动化技术,电气类,电气工程,自动化,电力系统及其自动化,测控技术与仪器）</t>
  </si>
  <si>
    <t>2025届校招研发岗（学历：硕士专业要求：机械工程,机械设计制造及其自动化,电气工程及其自动化,电气工程与智能控制,自动化）</t>
  </si>
  <si>
    <t>工程类（学历：本科专业要求：无）</t>
  </si>
  <si>
    <t>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t>
  </si>
  <si>
    <t>质量工程师（学历：本科专业要求：无）</t>
  </si>
  <si>
    <t>1、根据产品规范要求,策划实施产品审核2、根据控制计划及交付计划要求，跟踪组织分拣活动。3、根据不合格品处理程序，组织不合格品评审，编制及实施不合格改善计划。4、根据内外部产品表现，识别质量改进机会，策划，实施并跟踪相关改进方案或项目5、负责接收客户质量信息及客户抱怨，完成8D等方式的客户回复，跟踪并验证、关闭所实施的质量改善活动。组织协调质量退货的处理工作。6、根据产品质量动态，进行日常不合格品统计分析，报告，反映质量趋势7、根据过程能力状态，进行过程监控，分析过程变差并提出相应的改进措施8、根据过程作业标准化进程，推进SOP过程操作标准化及管理流程标准化工作9、根据供应商质量要求，协助实施进货质量检验10、根据产品开发进度计划，参与新产品APQP活动，收集和提交PPAP文件，编制控制计划、检验表单等相关质量控制文件，开发过程中与客户对标零件的检测细节、封样件的确认。11、负责策划产品的检验方案，进行量具的MSA分析研究。管理产品的量检具申购、日常使用的维护，跟踪量检具年度外检的实施。12、跟踪原材料棒材的化学成分及机械性能报告，适时组织第三方检测。13、对于产品相关的个别外部协作的工序进行跟踪，……</t>
  </si>
  <si>
    <t>技术管培生（学历：本科专业要求：无）</t>
  </si>
  <si>
    <t>产品工程师（学历：本科专业要求：无）</t>
  </si>
  <si>
    <t>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米锐可的英文Miracle意为“奇迹”，希望每一个员工都可以在人性化的环境里，创造出属于自己及公司的奇迹。公司始终坚守“思考、利人”的价值观……</t>
  </si>
  <si>
    <t>海运单证员（学历：本科专业要求：无）</t>
  </si>
  <si>
    <t>商务助理实习生（学历：大专专业要求：无）</t>
  </si>
  <si>
    <t>货代销售（学历：大专专业要求：无）</t>
  </si>
  <si>
    <t>蔚来是一家全球化的智能电动汽车公司，于2014年11月25日正式成立。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2015年，蔚来车队获得国际汽联电动方程式锦标赛历史上首个车手总冠军；201……</t>
  </si>
  <si>
    <t>校招-工程师，电子硬件开发（硬件集成开发）（学历：博士专业要求：无）</t>
  </si>
  <si>
    <t>校招-工程师，电子硬件开发（电源开发）（学历：硕士专业要求：无）</t>
  </si>
  <si>
    <t>工作内容1.负责车载电力电子功率变换产品的硬件开发设计工作，例如OBC,800/12，400/12，800/48，48/12，EFUSE等各种电压平台的功率变换和保护产品2.在项目中完成硬件相关交付物，同时保证开发节点匹配项目计划，例如硬件架构，各电路功能模块的详细设计，WCA分析，寿命可靠性分析，硬件相关功能安全目标的落地，电路调试，debug等测试验证工作3.与相关部门（机械设计，软件，测试，CE，质量与工厂）以及供应商紧密协作，以满足项目要求任职要求1.硕士及以上学历，电子技术/电气工程/电力电子与电力传动等相关方向2.熟悉常用的电路仿真软件，比如LTSPICE等3.熟悉常用的开发调试工具设备，比如示波器，电子源载等3.团队协调沟通能力强，乐于钻研技术，能适应快节奏开发环境，乐于接受学……</t>
  </si>
  <si>
    <t>校招-工程师，电子硬件开发（硬件平台开发）（学历：硕士专业要求：无）</t>
  </si>
  <si>
    <t>工作内容1.负责电力电子变换器/电机控制器的硬件开发工作；2.负责硬件电路模块的设计，包括功率模块(IGBT/SiC)驱动电路详细设计，驱动电源（flyback/LLC等）的详细设计，以及其他硬件电路模块的详细设计等；3.负责功率模块（IGBT/SiC)的选型评估，结合仿真及测试结果给出功率模块的能力边界；4.负责硬件电路模块的最坏情况分析（WCCA)，基于分析结果给出结论性判断，如不满足要求，需提出改善方案或给出风险评估；5.负责组织与供应商的技术交流，如芯片问题调查的讨论，前瞻技术的讨论等；6.负责硬件电路模块的问题调查，或支持项目完成相关硬件问题调查，对于重大问题需提供8D分析报告；7.项目中对硬件详细设计方案负责，以满足成本，性能以及可靠性等指标任职要求1.研究生学历，电子技术/电气……</t>
  </si>
  <si>
    <t>行政前台（学历：初中及以下专业要求：无）</t>
  </si>
  <si>
    <t>销售接待（学历：初中及以下专业要求：无）</t>
  </si>
  <si>
    <t>人事实习生（学历：本科专业要求：无）</t>
  </si>
  <si>
    <t>物业项目实习生（学历：大专专业要求：无）</t>
  </si>
  <si>
    <t>工程管理岗（学历：大专专业要求：无）</t>
  </si>
  <si>
    <t>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t>
  </si>
  <si>
    <t>工程师（学历：本科专业要求：机械设计制造类,控制科学与工程,测试计量技术及仪器,自动化）</t>
  </si>
  <si>
    <t>智能热试验技术专业工程师（学历：硕士专业要求：动力工程及工程热物理）</t>
  </si>
  <si>
    <t>专业工程师（控制、力学、热控、结构、数字化）（学历：硕士专业要求：机械类,控制科学与工程,动力工程及工程热物理,工程力学）</t>
  </si>
  <si>
    <t>上海汽轮机厂命名于1953年，是国家装备制造业大型重点骨干企业，是国内最早建成的汽轮机设计制造基地，是中国汽轮机的摇篮。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t>
  </si>
  <si>
    <t>数控操作工/钳工/质量检验/现场检修/电厂技术服务/行车司机/起重工（学历：中专/技校专业要求：无）</t>
  </si>
  <si>
    <t>数字算法工程师（学历：本科专业要求：机械设计制造及其自动化,电气工程及其自动化,自动化,机械工程,机械电子工程,机械制造及其自动化,动力机械及工程,流体机械及工程,计算机科学与技术,数学类）</t>
  </si>
  <si>
    <t>工业燃机研发工程师（学历：本科专业要求：机械,机械类,机械设计制造类,能源动力类,能源动力,航空航天工程,航空航天类,飞行器设计与工程,飞行器制造工程,飞行器动力工程）</t>
  </si>
  <si>
    <t>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延锋国际技术中心是延锋集团的核心职能部门，目前全球人数5000多人，总部在上海，在……</t>
  </si>
  <si>
    <t>财务文员（学历：本科专业要求：无）</t>
  </si>
  <si>
    <t>宣传文员（学历：本科专业要求：无）</t>
  </si>
  <si>
    <t>产品设计工程师（内饰/安全/座椅）（学历：本科专业要求：无）</t>
  </si>
  <si>
    <t>主要任务和职责1.根据产品投产系统（PLUS）以及客户产品开发程序的要求，按时保质地进行产品开发。2.制定和优化设计方案，选择正确.合适的零部件和材料，力求在保证功能.外观要求的情况下成本最低；掌握项目工程开发费用的使用。3.完成产品数据.图纸和材料清单（BOM）表等工程技术文件。4.协助处理客户提出的问题并参与解决。5.负责协调样品制造，客户交样和文件准备。6.组织或参与各类工程会议，并落实和跟踪行动计划。7.及时总结座椅开发过程中发生的问题和经验。8.与供应商和部门工厂联系，提供技术支持。基本条件1.2022年应届毕业生（包含海外留学生）2.全国重点院校本科及以上学历；3.CET-4或其他同等级英语能力证书，听说读写流利；4.会德语.法语.日语.韩语者优先考虑；5.成绩优秀，有奖学金者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</si>
</sst>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sz val="11"/>
      <name val="宋体"/>
      <charset val="134"/>
    </font>
    <font>
      <sz val="10"/>
      <color theme="1"/>
      <name val="宋体"/>
      <charset val="134"/>
    </font>
    <font>
      <sz val="10"/>
      <color theme="1"/>
      <name val="Arial"/>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6" fillId="0" borderId="0">
      <alignment vertical="center"/>
    </xf>
    <xf numFmtId="0" fontId="7" fillId="0" borderId="0">
      <alignment vertical="center"/>
    </xf>
    <xf numFmtId="0" fontId="5"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12">
    <xf numFmtId="0" fontId="0" fillId="0" borderId="0" xfId="0"/>
    <xf numFmtId="0" fontId="0" fillId="0" borderId="0" xfId="0" applyAlignment="1"/>
    <xf numFmtId="0" fontId="1" fillId="0" borderId="0" xfId="0" applyFont="1" applyAlignment="1"/>
    <xf numFmtId="0" fontId="1" fillId="0" borderId="0" xfId="0" applyFont="1"/>
    <xf numFmtId="0" fontId="2" fillId="0" borderId="0" xfId="0" applyFont="1" applyAlignment="1">
      <alignment vertical="center"/>
    </xf>
    <xf numFmtId="0" fontId="3" fillId="0" borderId="0" xfId="0" applyFont="1" applyAlignment="1">
      <alignment vertical="center"/>
    </xf>
    <xf numFmtId="0" fontId="1" fillId="0" borderId="0" xfId="0"/>
    <xf numFmtId="0" fontId="0" fillId="0" borderId="1" xfId="0" applyBorder="1"/>
    <xf numFmtId="0" fontId="0" fillId="0" borderId="1" xfId="0" applyBorder="1" applyAlignment="1"/>
    <xf numFmtId="0" fontId="1" fillId="0" borderId="1" xfId="0" applyBorder="1"/>
    <xf numFmtId="0" fontId="4" fillId="2" borderId="1" xfId="0" applyFont="1" applyFill="1" applyBorder="1"/>
    <xf numFmtId="0" fontId="1"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3"/>
  <sheetViews>
    <sheetView tabSelected="1" topLeftCell="G1" workbookViewId="0">
      <selection activeCell="M2" sqref="M2"/>
    </sheetView>
  </sheetViews>
  <sheetFormatPr defaultColWidth="9" defaultRowHeight="14.5"/>
  <cols>
    <col min="1" max="1" width="9" style="7"/>
    <col min="2" max="2" width="28.2727272727273" style="7" customWidth="1"/>
    <col min="3" max="3" width="32.4545454545455" style="8" customWidth="1"/>
    <col min="4" max="4" width="25.5" style="7" customWidth="1"/>
    <col min="5" max="6" width="9" style="7"/>
    <col min="7" max="7" width="68.2727272727273" style="8" customWidth="1"/>
    <col min="8" max="8" width="19.0909090909091" style="7" customWidth="1"/>
    <col min="9" max="9" width="24.6363636363636" style="7" customWidth="1"/>
    <col min="10" max="10" width="9" style="7"/>
    <col min="11" max="11" width="13.4545454545455" style="7" customWidth="1"/>
    <col min="12" max="12" width="56.6363636363636" style="7" customWidth="1"/>
    <col min="13" max="13" width="29.1818181818182" style="7" customWidth="1"/>
    <col min="14" max="16384" width="9" style="7"/>
  </cols>
  <sheetData>
    <row r="1" spans="1:15">
      <c r="A1" s="9" t="s">
        <v>0</v>
      </c>
      <c r="B1" s="7" t="s">
        <v>1</v>
      </c>
      <c r="C1" s="8" t="s">
        <v>2</v>
      </c>
      <c r="D1" s="7" t="s">
        <v>3</v>
      </c>
      <c r="E1" s="7" t="s">
        <v>4</v>
      </c>
      <c r="F1" s="7" t="s">
        <v>5</v>
      </c>
      <c r="G1" s="8" t="s">
        <v>6</v>
      </c>
      <c r="H1" s="7" t="s">
        <v>7</v>
      </c>
      <c r="I1" s="9" t="s">
        <v>8</v>
      </c>
      <c r="J1" s="9" t="s">
        <v>9</v>
      </c>
      <c r="K1" s="9" t="s">
        <v>10</v>
      </c>
      <c r="L1" s="9" t="s">
        <v>11</v>
      </c>
      <c r="M1" s="10" t="s">
        <v>12</v>
      </c>
      <c r="N1" s="10" t="s">
        <v>13</v>
      </c>
      <c r="O1" s="10" t="s">
        <v>14</v>
      </c>
    </row>
    <row r="2" spans="1:15">
      <c r="A2" s="7">
        <f t="shared" ref="A2:A65" si="0">COUNTIF(B:B,B2)</f>
        <v>4</v>
      </c>
      <c r="B2" s="7" t="s">
        <v>15</v>
      </c>
      <c r="C2" s="8" t="s">
        <v>16</v>
      </c>
      <c r="D2" s="7" t="s">
        <v>17</v>
      </c>
      <c r="E2" s="7">
        <v>10</v>
      </c>
      <c r="F2" s="7" t="s">
        <v>18</v>
      </c>
      <c r="G2" s="8" t="s">
        <v>19</v>
      </c>
      <c r="H2" s="7" t="s">
        <v>20</v>
      </c>
      <c r="I2" s="7" t="str">
        <f>_xlfn.CONCAT(D2,"（学历：",F2," 专业要求：",IF(ISBLANK(M2),"无",M2),"）")</f>
        <v>仓储助理专员（学历：大专 专业要求：无）</v>
      </c>
      <c r="J2" s="7">
        <f t="shared" ref="J2:J65" si="1">LEN(G2)</f>
        <v>126</v>
      </c>
      <c r="K2" s="7">
        <f>_xlfn.XLOOKUP(A2,长度要求!A:A,长度要求!E:E)</f>
        <v>500</v>
      </c>
      <c r="L2" s="7" t="str">
        <f t="shared" ref="L2:L65" si="2">IF(J2&lt;K2,G2,LEFT(G2,K2)&amp;"……")</f>
        <v>工作职责1)根据规程，执行公司各种物资运输安排、管理及监控；2)执行物资仓储管理，保证物资有序账目清晰。任职要求1)大专及以上学历，物流、仓储等相关专业；2)具备良好的沟通能力和团队合作精神，具备独立工作、分析和解决问题的能力，良好的中英文读写说能力。</v>
      </c>
      <c r="N2" s="7">
        <f>LEN(M2)</f>
        <v>0</v>
      </c>
      <c r="O2" s="7">
        <f>IF(ISBLANK(M2),0,COUNTA(_xlfn.TEXTSPLIT(M2,",")))</f>
        <v>0</v>
      </c>
    </row>
    <row r="3" spans="1:15">
      <c r="A3" s="7">
        <f t="shared" si="0"/>
        <v>6</v>
      </c>
      <c r="B3" s="7" t="s">
        <v>21</v>
      </c>
      <c r="C3" s="8" t="s">
        <v>22</v>
      </c>
      <c r="D3" s="7" t="s">
        <v>23</v>
      </c>
      <c r="E3" s="7">
        <v>5</v>
      </c>
      <c r="F3" s="7" t="s">
        <v>18</v>
      </c>
      <c r="G3" s="8" t="s">
        <v>24</v>
      </c>
      <c r="H3" s="7" t="s">
        <v>25</v>
      </c>
      <c r="I3" s="7" t="str">
        <f t="shared" ref="I3:I66" si="3">_xlfn.CONCAT(D3,"（学历：",F3," 专业要求：",IF(ISBLANK(M3),"无",M3),"）")</f>
        <v>设计，UI设计，效果图设计（学历：大专 专业要求：无）</v>
      </c>
      <c r="J3" s="7">
        <f t="shared" si="1"/>
        <v>225</v>
      </c>
      <c r="K3" s="7">
        <f>_xlfn.XLOOKUP(A3,长度要求!A:A,长度要求!E:E)</f>
        <v>500</v>
      </c>
      <c r="L3" s="7" t="str">
        <f t="shared" si="2"/>
        <v>工作内容：企业设计类工作，主要内容协助领导UI设计工作。招聘条件：有相关工作经验者优先；1、熟悉办公软件操作，具备良好的文字表达能力；2、熟练UI设计软件。公司从事智能家居及智能私人影院技术研发及硬件生产，招聘在校大学生实习实践，对智能家居，私人影院设备产品感兴趣者，实习生学员公司各岗位培养。实习期间成绩优秀者，毕业学年转正为企业员工，签定劳动合同，享受企业员工一切待遇。上海新皋实业有限公司是上海闵行区人社局及财政局审核认定的大学生实习实训基地。</v>
      </c>
      <c r="N3" s="7">
        <f t="shared" ref="N3:N66" si="4">LEN(M3)</f>
        <v>0</v>
      </c>
      <c r="O3" s="7">
        <f t="shared" ref="O3:O66" si="5">IF(ISBLANK(M3),0,COUNTA(_xlfn.TEXTSPLIT(M3,",")))</f>
        <v>0</v>
      </c>
    </row>
    <row r="4" spans="1:15">
      <c r="A4" s="7">
        <f t="shared" si="0"/>
        <v>6</v>
      </c>
      <c r="B4" s="7" t="s">
        <v>21</v>
      </c>
      <c r="C4" s="8" t="s">
        <v>22</v>
      </c>
      <c r="D4" s="7" t="s">
        <v>26</v>
      </c>
      <c r="E4" s="7">
        <v>3</v>
      </c>
      <c r="F4" s="7" t="s">
        <v>27</v>
      </c>
      <c r="G4" s="8" t="s">
        <v>28</v>
      </c>
      <c r="H4" s="7" t="s">
        <v>29</v>
      </c>
      <c r="I4" s="7" t="str">
        <f t="shared" si="3"/>
        <v>物联网技术助理（学历：初中及以下 专业要求：微电子技术,微电子学与固体电子学,微电子科学与工程）</v>
      </c>
      <c r="J4" s="7">
        <f t="shared" si="1"/>
        <v>315</v>
      </c>
      <c r="K4" s="7">
        <f>_xlfn.XLOOKUP(A4,长度要求!A:A,长度要求!E:E)</f>
        <v>500</v>
      </c>
      <c r="L4" s="7" t="str">
        <f t="shared" si="2"/>
        <v>我司是上海市人社局批准大学生实习基地，闵行区户籍实习生可以享受政府津贴，名额有限。公司从事智能家居及智能私人影院技术研发及硬件设备调试，招聘智能家居行业相关专业的在校大学生实习实践，要求物联网技术或电子及机电专业学生，具备弱电接线动手能力，对智能家居，私人影院设备安装调试感兴趣者，实习生学员公司提供技术培训。实习期间成绩优秀者，毕业学年转正为企业员工，签定劳动合同，享受企业员工一切待遇。优秀学员企业另外增加岗位津贴。面试证件：身份证；学信网个人资料；公司地址：上海市闵行区中春路7001号（明谷科技园）B栋415。公交路线：地铁9号线中春路站（2号口）出来沿着中春路骑行（10分钟）到达明谷科技园东大门，公司在东门左边进口处。</v>
      </c>
      <c r="M4" s="7" t="s">
        <v>30</v>
      </c>
      <c r="N4" s="7">
        <f t="shared" si="4"/>
        <v>25</v>
      </c>
      <c r="O4" s="7">
        <f t="shared" si="5"/>
        <v>3</v>
      </c>
    </row>
    <row r="5" spans="1:15">
      <c r="A5" s="7">
        <f t="shared" si="0"/>
        <v>2</v>
      </c>
      <c r="B5" s="7" t="s">
        <v>31</v>
      </c>
      <c r="C5" s="8" t="s">
        <v>32</v>
      </c>
      <c r="D5" s="7" t="s">
        <v>33</v>
      </c>
      <c r="E5" s="7">
        <v>2</v>
      </c>
      <c r="F5" s="7" t="s">
        <v>34</v>
      </c>
      <c r="G5" s="8" t="s">
        <v>35</v>
      </c>
      <c r="H5" s="7" t="s">
        <v>29</v>
      </c>
      <c r="I5" s="7" t="str">
        <f t="shared" si="3"/>
        <v>机电实习生（学历：中专/技校 专业要求：汽车检测与维修技术,新能源汽车技术,汽车运用与维修技术,汽车车身维修技术,新能源汽车运用与维修,汽车制造类,汽车服务工程,汽车维修工程教育,新能源汽车工程）</v>
      </c>
      <c r="J5" s="7">
        <f t="shared" si="1"/>
        <v>57</v>
      </c>
      <c r="K5" s="7">
        <f>_xlfn.XLOOKUP(A5,长度要求!A:A,长度要求!E:E)</f>
        <v>500</v>
      </c>
      <c r="L5" s="7" t="str">
        <f t="shared" si="2"/>
        <v>具有一定的汽车理论知识和汽车维修知识，具有较强的动手能力、语言表达能力、独立解决问题的能力、汽车工艺学习及钻研能力</v>
      </c>
      <c r="M5" s="7" t="s">
        <v>36</v>
      </c>
      <c r="N5" s="7">
        <f t="shared" si="4"/>
        <v>77</v>
      </c>
      <c r="O5" s="7">
        <f t="shared" si="5"/>
        <v>9</v>
      </c>
    </row>
    <row r="6" spans="1:15">
      <c r="A6" s="7">
        <f t="shared" si="0"/>
        <v>1</v>
      </c>
      <c r="B6" s="7" t="s">
        <v>37</v>
      </c>
      <c r="C6" s="8" t="s">
        <v>38</v>
      </c>
      <c r="D6" s="7" t="s">
        <v>39</v>
      </c>
      <c r="E6" s="7">
        <v>5</v>
      </c>
      <c r="F6" s="7" t="s">
        <v>27</v>
      </c>
      <c r="G6" s="8" t="s">
        <v>40</v>
      </c>
      <c r="H6" s="7" t="s">
        <v>41</v>
      </c>
      <c r="I6" s="7" t="str">
        <f t="shared" si="3"/>
        <v>保育员（学历：初中及以下 专业要求：学前教育,卫生教育）</v>
      </c>
      <c r="J6" s="7">
        <f t="shared" si="1"/>
        <v>29</v>
      </c>
      <c r="K6" s="7">
        <f>_xlfn.XLOOKUP(A6,长度要求!A:A,长度要求!E:E)</f>
        <v>500</v>
      </c>
      <c r="L6" s="7" t="str">
        <f t="shared" si="2"/>
        <v>具有良好师德，爱孩子，有正确的儿童观具备保育专业知识与技能</v>
      </c>
      <c r="M6" s="11" t="s">
        <v>42</v>
      </c>
      <c r="N6" s="7">
        <f t="shared" si="4"/>
        <v>9</v>
      </c>
      <c r="O6" s="7">
        <f t="shared" si="5"/>
        <v>2</v>
      </c>
    </row>
    <row r="7" spans="1:15">
      <c r="A7" s="7">
        <f t="shared" si="0"/>
        <v>6</v>
      </c>
      <c r="B7" s="7" t="s">
        <v>21</v>
      </c>
      <c r="C7" s="8" t="s">
        <v>22</v>
      </c>
      <c r="D7" s="7" t="s">
        <v>43</v>
      </c>
      <c r="E7" s="7">
        <v>4</v>
      </c>
      <c r="F7" s="7" t="s">
        <v>27</v>
      </c>
      <c r="G7" s="8" t="s">
        <v>44</v>
      </c>
      <c r="H7" s="7" t="s">
        <v>25</v>
      </c>
      <c r="I7" s="7" t="str">
        <f t="shared" si="3"/>
        <v>新媒体运营（学历：初中及以下 专业要求：无）</v>
      </c>
      <c r="J7" s="7">
        <f t="shared" si="1"/>
        <v>608</v>
      </c>
      <c r="K7" s="7">
        <f>_xlfn.XLOOKUP(A7,长度要求!A:A,长度要求!E:E)</f>
        <v>500</v>
      </c>
      <c r="L7" s="7" t="str">
        <f t="shared" si="2"/>
        <v>工作内容负责公司多媒体渠道（包括但不限于微信公众号、抖音、微博等）的运营管理和内容策划。通过策划和执行，提升公司多媒体渠道的曝光度和用户粘性。主要职责：1、负责公司多媒体渠道的运营管理和内容策划，包括但不限于制定并执行渠道内容计划、跟踪和优化渠道运营效果、策划并执行创意等；2、撰写、编辑、发布公司公众号多媒体内容，提升内容质量和创意，以满足用户需求和公司需求；3、根据公司业务需求，制定并执行多媒体渠道的定期更新和升级策略，提升公司多媒体品牌形象和用户黏性；4、定期汇报公司多媒体渠道运营效果，提供数据驱动的改进建议，以优化公司多媒体运营策略；5、与其他部门的沟通和协作，包括但不限于与视频拍摄团队、设计师等合作，提升公司多媒体内容质量和用户体验。招聘条件多媒体运营专业，大专及以上学历，具备较强的项目管理能力和团队协作能力；1、熟悉新媒体渠道，具有一定的内容策划和创意能力，善于分析数据驱动问题；2、具有较强的沟通协调能力，能够与不同部门进行有效沟通和协作；3、具有较强的逻辑思维能力，能够独立思考和解决问题；4、熟练掌握公司多媒体运营流程和方法，了解公司业务需求。具有视频拍摄剪辑编辑能力。熟练……</v>
      </c>
      <c r="N7" s="7">
        <f t="shared" si="4"/>
        <v>0</v>
      </c>
      <c r="O7" s="7">
        <f t="shared" si="5"/>
        <v>0</v>
      </c>
    </row>
    <row r="8" spans="1:15">
      <c r="A8" s="7">
        <f t="shared" si="0"/>
        <v>6</v>
      </c>
      <c r="B8" s="7" t="s">
        <v>21</v>
      </c>
      <c r="C8" s="8" t="s">
        <v>22</v>
      </c>
      <c r="D8" s="7" t="s">
        <v>45</v>
      </c>
      <c r="E8" s="7">
        <v>3</v>
      </c>
      <c r="F8" s="7" t="s">
        <v>18</v>
      </c>
      <c r="G8" s="8" t="s">
        <v>46</v>
      </c>
      <c r="H8" s="7" t="s">
        <v>29</v>
      </c>
      <c r="I8" s="7" t="str">
        <f t="shared" si="3"/>
        <v>技术调试普工（学历：大专 专业要求：无）</v>
      </c>
      <c r="J8" s="7">
        <f t="shared" si="1"/>
        <v>176</v>
      </c>
      <c r="K8" s="7">
        <f>_xlfn.XLOOKUP(A8,长度要求!A:A,长度要求!E:E)</f>
        <v>500</v>
      </c>
      <c r="L8" s="7" t="str">
        <f t="shared" si="2"/>
        <v>工作内容负责生产电子产品组装+装配+测试等简单工作。1.通过岗位技能培训后，对电子元器件进行装配；2.对产品进行外观方面的品质检查；3.每日下班前，保持台面和工具的清洁；招聘条件：文化程度：中专及以上学历；机电电子专业、物联网专业或微电子专业；有电子产品组装能力；能手工焊接工，会使用小型电动工具设备，熟练的动手能力。身体健康、工作认真负责，吃苦耐劳。</v>
      </c>
      <c r="N8" s="7">
        <f t="shared" si="4"/>
        <v>0</v>
      </c>
      <c r="O8" s="7">
        <f t="shared" si="5"/>
        <v>0</v>
      </c>
    </row>
    <row r="9" spans="1:15">
      <c r="A9" s="7">
        <f t="shared" si="0"/>
        <v>6</v>
      </c>
      <c r="B9" s="7" t="s">
        <v>21</v>
      </c>
      <c r="C9" s="8" t="s">
        <v>22</v>
      </c>
      <c r="D9" s="7" t="s">
        <v>47</v>
      </c>
      <c r="E9" s="7">
        <v>2</v>
      </c>
      <c r="F9" s="7" t="s">
        <v>18</v>
      </c>
      <c r="G9" s="8" t="s">
        <v>48</v>
      </c>
      <c r="H9" s="7" t="s">
        <v>29</v>
      </c>
      <c r="I9" s="7" t="str">
        <f t="shared" si="3"/>
        <v>办公室文员(人事助理）（学历：大专 专业要求：无）</v>
      </c>
      <c r="J9" s="7">
        <f t="shared" si="1"/>
        <v>189</v>
      </c>
      <c r="K9" s="7">
        <f>_xlfn.XLOOKUP(A9,长度要求!A:A,长度要求!E:E)</f>
        <v>500</v>
      </c>
      <c r="L9" s="7" t="str">
        <f t="shared" si="2"/>
        <v>工作内容：负责办公室日常运营和维护，处理各类文件及档案，负责公司会议前准备工作：负责协助部门负责人完成人事行政辅助类工作，包括但不限于来客来访接待、整理文件等；招聘条件：不限工作经验，有相关工作经验者优先；1、熟悉办公软件操作，具备良好的文字表达能力；2、具备良好的组织协调能力和团队合作意识；3、具有较强的沟通能力和抗压能力，能够适应工作中的挑战；4、有较强的责任心和事业心，</v>
      </c>
      <c r="N9" s="7">
        <f t="shared" si="4"/>
        <v>0</v>
      </c>
      <c r="O9" s="7">
        <f t="shared" si="5"/>
        <v>0</v>
      </c>
    </row>
    <row r="10" spans="1:15">
      <c r="A10" s="7">
        <f t="shared" si="0"/>
        <v>6</v>
      </c>
      <c r="B10" s="7" t="s">
        <v>21</v>
      </c>
      <c r="C10" s="8" t="s">
        <v>22</v>
      </c>
      <c r="D10" s="7" t="s">
        <v>49</v>
      </c>
      <c r="E10" s="7">
        <v>5</v>
      </c>
      <c r="F10" s="7" t="s">
        <v>18</v>
      </c>
      <c r="G10" s="8" t="s">
        <v>50</v>
      </c>
      <c r="H10" s="7" t="s">
        <v>29</v>
      </c>
      <c r="I10" s="7" t="str">
        <f t="shared" si="3"/>
        <v>电商运营 (电商客服)（学历：大专 专业要求：无）</v>
      </c>
      <c r="J10" s="7">
        <f t="shared" si="1"/>
        <v>201</v>
      </c>
      <c r="K10" s="7">
        <f>_xlfn.XLOOKUP(A10,长度要求!A:A,长度要求!E:E)</f>
        <v>500</v>
      </c>
      <c r="L10" s="7" t="str">
        <f t="shared" si="2"/>
        <v>工作内容：1、负责店铺日常运营，包括商品上架、售后处理、物流跟踪等；日常产品标题优化、主图和详情页优化、评价维护、站内外推广、活动策划及提报等运营工作；招聘条件：具有较强的责任心和耐心，对电商领域有浓厚的兴趣和学习意愿；-熟练掌握淘宝、天猫等电商平台运营规则，了解各种推广工具的使用；-有良好的沟通能力和团队协作精神，善于与上级和同事进行有效沟通。熟练OFFICE和PS、PR软件。待遇：基本新资+提成</v>
      </c>
      <c r="N10" s="7">
        <f t="shared" si="4"/>
        <v>0</v>
      </c>
      <c r="O10" s="7">
        <f t="shared" si="5"/>
        <v>0</v>
      </c>
    </row>
    <row r="11" spans="1:15">
      <c r="A11" s="7">
        <f t="shared" si="0"/>
        <v>2</v>
      </c>
      <c r="B11" s="7" t="s">
        <v>51</v>
      </c>
      <c r="C11" s="8" t="s">
        <v>52</v>
      </c>
      <c r="D11" s="7" t="s">
        <v>53</v>
      </c>
      <c r="E11" s="7">
        <v>50</v>
      </c>
      <c r="F11" s="7" t="s">
        <v>18</v>
      </c>
      <c r="G11" s="8" t="s">
        <v>54</v>
      </c>
      <c r="H11" s="7" t="s">
        <v>55</v>
      </c>
      <c r="I11" s="7" t="str">
        <f t="shared" si="3"/>
        <v>门店管培生（学历：大专 专业要求：无）</v>
      </c>
      <c r="J11" s="7">
        <f t="shared" si="1"/>
        <v>754</v>
      </c>
      <c r="K11" s="7">
        <f>_xlfn.XLOOKUP(A11,长度要求!A:A,长度要求!E:E)</f>
        <v>500</v>
      </c>
      <c r="L11" s="7" t="str">
        <f t="shared" si="2"/>
        <v>公司简介：网鱼创始于1998年，起源于上海松江，2015年获得上海市著名商标荣誉称号。作为国内电竞连锁的代表，从诞生之初就秉承不断创新的理念，致力于全球第一电竞社区的打造，为全球电竞玩家提供优质的电竞休闲娱乐服务。截至2021年12月31日，网鱼全球会员数超2000万，服务覆盖国内外82个城市，在美国、英国、加拿大、澳大利亚、新加坡等多个国家开设门店，全球拥有900多家门店，年服务人次超4000万。2021年，网鱼品牌创新升级为“网鱼电竞”，打造游戏玩家的电竞基地；探索多业态，推出“网鱼电竞酒店”，正式进军电竞酒店行业，打造跨品类、跨业态、跨平台的综合娱乐型品牌，践行“给用户美好的体验”。截至2023年12月，网鱼电竞酒店覆盖全国26个主要城市，在营门店数量超过200家。岗位介绍门店管培生（储备店长）：50名工作地点：全国（全国1700家门店，可根据意向城市分配工作城市）。工作职责:1、经营管理：从基层店员历练开始，协助酒店店长进行门店的运营管理，管理门店资产设备、现金、账务，薪资录入，奖金核算；2、学习管理：跟随导师学习门店人员的岗位落实及日常管理；3、品质管理：保证门店卫生品质，逐……</v>
      </c>
      <c r="N11" s="7">
        <f t="shared" si="4"/>
        <v>0</v>
      </c>
      <c r="O11" s="7">
        <f t="shared" si="5"/>
        <v>0</v>
      </c>
    </row>
    <row r="12" spans="1:15">
      <c r="A12" s="7">
        <f t="shared" si="0"/>
        <v>2</v>
      </c>
      <c r="B12" s="7" t="s">
        <v>51</v>
      </c>
      <c r="C12" s="8" t="s">
        <v>52</v>
      </c>
      <c r="D12" s="7" t="s">
        <v>56</v>
      </c>
      <c r="E12" s="7">
        <v>30</v>
      </c>
      <c r="F12" s="7" t="s">
        <v>18</v>
      </c>
      <c r="G12" s="8" t="s">
        <v>57</v>
      </c>
      <c r="H12" s="7" t="s">
        <v>20</v>
      </c>
      <c r="I12" s="7" t="str">
        <f t="shared" si="3"/>
        <v>客户经理（学历：大专 专业要求：无）</v>
      </c>
      <c r="J12" s="7">
        <f t="shared" si="1"/>
        <v>517</v>
      </c>
      <c r="K12" s="7">
        <f>_xlfn.XLOOKUP(A12,长度要求!A:A,长度要求!E:E)</f>
        <v>500</v>
      </c>
      <c r="L12" s="7" t="str">
        <f t="shared" si="2"/>
        <v>职责：1、导座服务：①严格执行门店导座SOP标准，提升顾客满意度；②主动观察顾客消费习惯，提供个性化服务；③工作时间需着JK制服，并保持整洁得体的妆容及精神面貌；2、抖音直播：①每日在门店非上客高峰期，使用门店抖音账号，完成2小时直播；②负责直播间的秩序维护和用户互动，积极解答用户问题；③发掘直播间内意向用户，吸引用户到店，提升门店新会员数量；④每日24点前，完成一条抖音视频发布。3、会员运营：①完成企业微信社群搭建、成员邀请及日常维护；②每日回访新客，定期收集top100顾客反馈建议；③每日邀请老顾客到店上网，并为顾客线上订座；4、线上平台维护：①每周按照店长要求，完成高德/百度/腾讯地图/美团平台的优质好评数。②100%邀请团购用户消费后评价。要求：1、性别：女2、年龄：18-24周岁3、学历：大专及以上学历4、形象：身高160CM以上，形象气质佳5、性格特质：活泼开朗，有服务意识，擅沟通喜交流6、经验能力：会端游、有直播或者游戏教练经验者优先薪资待遇1、薪资：月薪5000+；2、福利：每月免费上网时长60小时，免费饮品10杯，简餐半价券42张，其他福利均同门店其他员工；3、销售提……</v>
      </c>
      <c r="N12" s="7">
        <f t="shared" si="4"/>
        <v>0</v>
      </c>
      <c r="O12" s="7">
        <f t="shared" si="5"/>
        <v>0</v>
      </c>
    </row>
    <row r="13" spans="1:15">
      <c r="A13" s="7">
        <f t="shared" si="0"/>
        <v>4</v>
      </c>
      <c r="B13" s="7" t="s">
        <v>58</v>
      </c>
      <c r="C13" s="8" t="s">
        <v>59</v>
      </c>
      <c r="D13" s="7" t="s">
        <v>60</v>
      </c>
      <c r="E13" s="7">
        <v>3</v>
      </c>
      <c r="F13" s="7" t="s">
        <v>18</v>
      </c>
      <c r="G13" s="8" t="s">
        <v>61</v>
      </c>
      <c r="H13" s="7" t="s">
        <v>62</v>
      </c>
      <c r="I13" s="7" t="str">
        <f t="shared" si="3"/>
        <v>校企合作经理（学历：大专 专业要求：无）</v>
      </c>
      <c r="J13" s="7">
        <f t="shared" si="1"/>
        <v>204</v>
      </c>
      <c r="K13" s="7">
        <f>_xlfn.XLOOKUP(A13,长度要求!A:A,长度要求!E:E)</f>
        <v>500</v>
      </c>
      <c r="L13" s="7" t="str">
        <f t="shared" si="2"/>
        <v>岗位职责：1、负责面向全国本科、高职、中职、技师院校进行数字营销实训软件的销售工作；2、制定区域销售计划并保障计划有效完成，进行系统化成本风控；3、完成区域业务团队组建、培养和绩效管理；4、建立院校业务多元化合作伙伴架构和体系。任职要求：1、不限专业，金融、网络营销、电子商务为佳；2、做事严谨细致，有耐心，有责任心，具有优秀的表达能力与团队协作能力3、具备良好的学习力、承压能力及高度责任心。4、能接受出差</v>
      </c>
      <c r="N13" s="7">
        <f t="shared" si="4"/>
        <v>0</v>
      </c>
      <c r="O13" s="7">
        <f t="shared" si="5"/>
        <v>0</v>
      </c>
    </row>
    <row r="14" spans="1:15">
      <c r="A14" s="7">
        <f t="shared" si="0"/>
        <v>5</v>
      </c>
      <c r="B14" s="7" t="s">
        <v>63</v>
      </c>
      <c r="C14" s="8" t="s">
        <v>64</v>
      </c>
      <c r="D14" s="7" t="s">
        <v>65</v>
      </c>
      <c r="E14" s="7">
        <v>2</v>
      </c>
      <c r="F14" s="7" t="s">
        <v>18</v>
      </c>
      <c r="G14" s="8" t="s">
        <v>66</v>
      </c>
      <c r="H14" s="7" t="s">
        <v>67</v>
      </c>
      <c r="I14" s="7" t="str">
        <f t="shared" si="3"/>
        <v>会计助理（实习生）（学历：大专 专业要求：无）</v>
      </c>
      <c r="J14" s="7">
        <f t="shared" si="1"/>
        <v>52</v>
      </c>
      <c r="K14" s="7">
        <f>_xlfn.XLOOKUP(A14,长度要求!A:A,长度要求!E:E)</f>
        <v>500</v>
      </c>
      <c r="L14" s="7" t="str">
        <f t="shared" si="2"/>
        <v>开票基础凭证录入及时完成领导交办的其他事项岗位要求：会计或财务相关专业工作认真、仔细、负责欢迎应届毕业生</v>
      </c>
      <c r="N14" s="7">
        <f t="shared" si="4"/>
        <v>0</v>
      </c>
      <c r="O14" s="7">
        <f t="shared" si="5"/>
        <v>0</v>
      </c>
    </row>
    <row r="15" spans="1:15">
      <c r="A15" s="7">
        <f t="shared" si="0"/>
        <v>4</v>
      </c>
      <c r="B15" s="7" t="s">
        <v>15</v>
      </c>
      <c r="C15" s="8" t="s">
        <v>16</v>
      </c>
      <c r="D15" s="7" t="s">
        <v>68</v>
      </c>
      <c r="E15" s="7">
        <v>5</v>
      </c>
      <c r="F15" s="7" t="s">
        <v>18</v>
      </c>
      <c r="G15" s="8" t="s">
        <v>69</v>
      </c>
      <c r="H15" s="7" t="s">
        <v>70</v>
      </c>
      <c r="I15" s="7" t="str">
        <f t="shared" si="3"/>
        <v>良率提升助理技术员（学历：大专 专业要求：无）</v>
      </c>
      <c r="J15" s="7">
        <f t="shared" si="1"/>
        <v>211</v>
      </c>
      <c r="K15" s="7">
        <f>_xlfn.XLOOKUP(A15,长度要求!A:A,长度要求!E:E)</f>
        <v>500</v>
      </c>
      <c r="L15" s="7" t="str">
        <f t="shared" si="2"/>
        <v>岗位描述：1）负责支持在线缺陷监控，处理产线检测的产品、设备，保证产品正常生产，设备正常运行。2）负责监控并处理检测及复检机台的异常运行状况，保证机台正常运行。3）协同工程师进行缺陷改善，建立合格的检测程式和复检程式，发现并通知产生缺陷的制程，减少缺陷的影响范围。4）负责简单的缺陷切片制样，跟进切片结果。任职要求：1）大专及以上学历，专业不限。2）具备良好的沟通能力，具备团队意识。3）倒班工作模式，接受无尘室工作环境。</v>
      </c>
      <c r="N15" s="7">
        <f t="shared" si="4"/>
        <v>0</v>
      </c>
      <c r="O15" s="7">
        <f t="shared" si="5"/>
        <v>0</v>
      </c>
    </row>
    <row r="16" spans="1:15">
      <c r="A16" s="7">
        <f t="shared" si="0"/>
        <v>4</v>
      </c>
      <c r="B16" s="7" t="s">
        <v>15</v>
      </c>
      <c r="C16" s="8" t="s">
        <v>16</v>
      </c>
      <c r="D16" s="7" t="s">
        <v>71</v>
      </c>
      <c r="E16" s="7">
        <v>20</v>
      </c>
      <c r="F16" s="7" t="s">
        <v>18</v>
      </c>
      <c r="G16" s="8" t="s">
        <v>72</v>
      </c>
      <c r="H16" s="7" t="s">
        <v>70</v>
      </c>
      <c r="I16" s="7" t="str">
        <f t="shared" si="3"/>
        <v>实验室技术员（学历：大专 专业要求：无）</v>
      </c>
      <c r="J16" s="7">
        <f t="shared" si="1"/>
        <v>210</v>
      </c>
      <c r="K16" s="7">
        <f>_xlfn.XLOOKUP(A16,长度要求!A:A,长度要求!E:E)</f>
        <v>500</v>
      </c>
      <c r="L16" s="7" t="str">
        <f t="shared" si="2"/>
        <v>岗位描述：1）按照规程和作业指导书，执行失效分析实验室/可靠性实验室/化学实验室内相关仪器的操作并按照求完成具体失效分析工作。2）按照规程和作业指导书，执行失效分析实验室/可靠性实验室/化学实验室的日常点检，协助处理机台的日常维护工作。任职要求：1）大专以上学历，理工科相关专业。2）接受倒班工作模式，接受无尘室工作环境。3）具备良好的沟通能力和团队合作精神，具备独立工作、分析和解决问题的能力，良好的中英文读写说能力。</v>
      </c>
      <c r="N16" s="7">
        <f t="shared" si="4"/>
        <v>0</v>
      </c>
      <c r="O16" s="7">
        <f t="shared" si="5"/>
        <v>0</v>
      </c>
    </row>
    <row r="17" spans="1:15">
      <c r="A17" s="7">
        <f t="shared" si="0"/>
        <v>7</v>
      </c>
      <c r="B17" s="7" t="s">
        <v>73</v>
      </c>
      <c r="C17" s="8" t="s">
        <v>74</v>
      </c>
      <c r="D17" s="7" t="s">
        <v>75</v>
      </c>
      <c r="E17" s="7">
        <v>10</v>
      </c>
      <c r="F17" s="7" t="s">
        <v>18</v>
      </c>
      <c r="G17" s="8" t="s">
        <v>76</v>
      </c>
      <c r="H17" s="7" t="s">
        <v>77</v>
      </c>
      <c r="I17" s="7" t="str">
        <f t="shared" si="3"/>
        <v>展区管理员（学历：大专 专业要求：无）</v>
      </c>
      <c r="J17" s="7">
        <f t="shared" si="1"/>
        <v>262</v>
      </c>
      <c r="K17" s="7">
        <f>_xlfn.XLOOKUP(A17,长度要求!A:A,长度要求!E:E)</f>
        <v>500</v>
      </c>
      <c r="L17" s="7" t="str">
        <f t="shared" si="2"/>
        <v>要求：（1）五官端正、形象气质号，女性165cm，男性175cm以上，年龄30岁以下。（2）语言表达能力强、善于沟通。普通话水平二级乙等以上或具备同等水平。（3）有较强的组织协调能力，团队协作能力，反应敏捷、能妥善处理游客的突发状况，且具备熟练的电脑操作知识。（4）具有一定的英语口语能力，能与外宾简单交流。薪资待遇：5000-6000元/月其他福利：早中餐、高温费、年终奖、大礼包等实习生3000元+500元全勤奖，国企，提供完善的培训，实习表现优秀者毕业后优先录用。录用后缴纳四金，提供年终奖、高温费、大礼包，详情面谈。</v>
      </c>
      <c r="N17" s="7">
        <f t="shared" si="4"/>
        <v>0</v>
      </c>
      <c r="O17" s="7">
        <f t="shared" si="5"/>
        <v>0</v>
      </c>
    </row>
    <row r="18" spans="1:15">
      <c r="A18" s="7">
        <f t="shared" si="0"/>
        <v>6</v>
      </c>
      <c r="B18" s="7" t="s">
        <v>78</v>
      </c>
      <c r="C18" s="8" t="s">
        <v>79</v>
      </c>
      <c r="D18" s="7" t="s">
        <v>80</v>
      </c>
      <c r="E18" s="7">
        <v>20</v>
      </c>
      <c r="F18" s="7" t="s">
        <v>18</v>
      </c>
      <c r="G18" s="8" t="s">
        <v>81</v>
      </c>
      <c r="H18" s="7" t="s">
        <v>82</v>
      </c>
      <c r="I18" s="7" t="str">
        <f t="shared" si="3"/>
        <v>3D模型师/3D建模师（学历：大专 专业要求：无）</v>
      </c>
      <c r="J18" s="7">
        <f t="shared" si="1"/>
        <v>54</v>
      </c>
      <c r="K18" s="7">
        <f>_xlfn.XLOOKUP(A18,长度要求!A:A,长度要求!E:E)</f>
        <v>500</v>
      </c>
      <c r="L18" s="7" t="str">
        <f t="shared" si="2"/>
        <v>负责制作游戏内相关道具场景的建模，熟练使用3Dmax，ps，maya，zb等软件，熟悉次世代制作流程者优先。</v>
      </c>
      <c r="N18" s="7">
        <f t="shared" si="4"/>
        <v>0</v>
      </c>
      <c r="O18" s="7">
        <f t="shared" si="5"/>
        <v>0</v>
      </c>
    </row>
    <row r="19" spans="1:15">
      <c r="A19" s="7">
        <f t="shared" si="0"/>
        <v>5</v>
      </c>
      <c r="B19" s="7" t="s">
        <v>83</v>
      </c>
      <c r="C19" s="8" t="s">
        <v>84</v>
      </c>
      <c r="D19" s="7" t="s">
        <v>85</v>
      </c>
      <c r="E19" s="7">
        <v>5</v>
      </c>
      <c r="F19" s="7" t="s">
        <v>18</v>
      </c>
      <c r="G19" s="8" t="s">
        <v>86</v>
      </c>
      <c r="H19" s="7" t="s">
        <v>67</v>
      </c>
      <c r="I19" s="7" t="str">
        <f t="shared" si="3"/>
        <v>外贸业务助理（学历：大专 专业要求：国际经济与贸易,国际贸易学,贸易经济）</v>
      </c>
      <c r="J19" s="7">
        <f t="shared" si="1"/>
        <v>135</v>
      </c>
      <c r="K19" s="7">
        <f>_xlfn.XLOOKUP(A19,长度要求!A:A,长度要求!E:E)</f>
        <v>500</v>
      </c>
      <c r="L19" s="7" t="str">
        <f t="shared" si="2"/>
        <v>1.英语大学四级及以上，书面英语读写无障碍，口语交流流利。2.优秀的沟通表达能力与亲和力，有出色的组织协调能力与执行力。3.工作积极主动、认真负责，责任心强。4.善于组织策划活动，有服务意识。5.持有有效驾照，驾驶技术熟练者优先。(因工作经常会涉及到海外客户接待需求)。</v>
      </c>
      <c r="M19" s="7" t="s">
        <v>87</v>
      </c>
      <c r="N19" s="7">
        <f t="shared" si="4"/>
        <v>18</v>
      </c>
      <c r="O19" s="7">
        <f t="shared" si="5"/>
        <v>3</v>
      </c>
    </row>
    <row r="20" spans="1:15">
      <c r="A20" s="7">
        <f t="shared" si="0"/>
        <v>1</v>
      </c>
      <c r="B20" s="7" t="s">
        <v>88</v>
      </c>
      <c r="C20" s="8" t="s">
        <v>89</v>
      </c>
      <c r="D20" s="7" t="s">
        <v>90</v>
      </c>
      <c r="E20" s="7">
        <v>4</v>
      </c>
      <c r="F20" s="7" t="s">
        <v>27</v>
      </c>
      <c r="G20" s="8" t="s">
        <v>91</v>
      </c>
      <c r="H20" s="7" t="s">
        <v>92</v>
      </c>
      <c r="I20" s="7" t="str">
        <f t="shared" si="3"/>
        <v>会展接待服务（学历：初中及以下 专业要求：无）</v>
      </c>
      <c r="J20" s="7">
        <f t="shared" si="1"/>
        <v>114</v>
      </c>
      <c r="K20" s="7">
        <f>_xlfn.XLOOKUP(A20,长度要求!A:A,长度要求!E:E)</f>
        <v>500</v>
      </c>
      <c r="L20" s="7" t="str">
        <f t="shared" si="2"/>
        <v>1.女：身高1.65米以上，专业不限；2.品貌端正、无纹身、对工作有责任心，能吃苦耐劳；3.按照客户要求布置好会场，做好会前的准备工作；4.做好会中接待工作，确保会议有序进行；5.本岗位可招收实习生；6.完成上级安排的其他工作。</v>
      </c>
      <c r="N20" s="7">
        <f t="shared" si="4"/>
        <v>0</v>
      </c>
      <c r="O20" s="7">
        <f t="shared" si="5"/>
        <v>0</v>
      </c>
    </row>
    <row r="21" spans="1:15">
      <c r="A21" s="7">
        <f t="shared" si="0"/>
        <v>2</v>
      </c>
      <c r="B21" s="7" t="s">
        <v>93</v>
      </c>
      <c r="C21" s="8" t="s">
        <v>94</v>
      </c>
      <c r="D21" s="7" t="s">
        <v>95</v>
      </c>
      <c r="E21" s="7">
        <v>2</v>
      </c>
      <c r="F21" s="7" t="s">
        <v>18</v>
      </c>
      <c r="G21" s="8" t="s">
        <v>96</v>
      </c>
      <c r="H21" s="7" t="s">
        <v>97</v>
      </c>
      <c r="I21" s="7" t="str">
        <f t="shared" si="3"/>
        <v>软件开发设计师（学历：大专 专业要求：无）</v>
      </c>
      <c r="J21" s="7">
        <f t="shared" si="1"/>
        <v>234</v>
      </c>
      <c r="K21" s="7">
        <f>_xlfn.XLOOKUP(A21,长度要求!A:A,长度要求!E:E)</f>
        <v>500</v>
      </c>
      <c r="L21" s="7" t="str">
        <f t="shared" si="2"/>
        <v>技术基础：掌握前端基础技术，包括HTML/CSS/JavaScript，了解ES6及以上语法；熟悉或初步了解小程序开发技术栈（WXML/WXSS），有使用微信开发者工具的基础经验；了解Vue、React等前端框架，或Python、Java等任一后端语言者优先。3.工具与能力：能使用微信开发者工具完成简单代码编写、调试与预览；具备基础的逻辑思维和问题排查能力，能理解简单业务需求并配合完成代码辅助工作；会使用Git等版本控制工具（如GitHub、GitLab）者加分。</v>
      </c>
      <c r="N21" s="7">
        <f t="shared" si="4"/>
        <v>0</v>
      </c>
      <c r="O21" s="7">
        <f t="shared" si="5"/>
        <v>0</v>
      </c>
    </row>
    <row r="22" spans="1:15">
      <c r="A22" s="7">
        <f t="shared" si="0"/>
        <v>2</v>
      </c>
      <c r="B22" s="7" t="s">
        <v>93</v>
      </c>
      <c r="C22" s="8" t="s">
        <v>94</v>
      </c>
      <c r="D22" s="7" t="s">
        <v>98</v>
      </c>
      <c r="E22" s="7">
        <v>5</v>
      </c>
      <c r="F22" s="7" t="s">
        <v>18</v>
      </c>
      <c r="G22" s="8" t="s">
        <v>99</v>
      </c>
      <c r="H22" s="7" t="s">
        <v>97</v>
      </c>
      <c r="I22" s="7" t="str">
        <f t="shared" si="3"/>
        <v>装饰设计（学历：大专 专业要求：无）</v>
      </c>
      <c r="J22" s="7">
        <f t="shared" si="1"/>
        <v>123</v>
      </c>
      <c r="K22" s="7">
        <f>_xlfn.XLOOKUP(A22,长度要求!A:A,长度要求!E:E)</f>
        <v>500</v>
      </c>
      <c r="L22" s="7" t="str">
        <f t="shared" si="2"/>
        <v>软件技能：熟练使用CAD（绘制平面图、施工图）、SketchUp（基础建模），掌握3DMax/Blender（建模）、Photoshop（效果图后期）者优先。具备基础的空间布局、色彩搭配审美；了解常见装饰材料（如板材、涂料）、施工工艺基础知识者。</v>
      </c>
      <c r="N22" s="7">
        <f t="shared" si="4"/>
        <v>0</v>
      </c>
      <c r="O22" s="7">
        <f t="shared" si="5"/>
        <v>0</v>
      </c>
    </row>
    <row r="23" spans="1:15">
      <c r="A23" s="7">
        <f t="shared" si="0"/>
        <v>3</v>
      </c>
      <c r="B23" s="7" t="s">
        <v>100</v>
      </c>
      <c r="C23" s="8" t="s">
        <v>101</v>
      </c>
      <c r="D23" s="7" t="s">
        <v>102</v>
      </c>
      <c r="E23" s="7">
        <v>3</v>
      </c>
      <c r="F23" s="7" t="s">
        <v>18</v>
      </c>
      <c r="G23" s="8" t="s">
        <v>103</v>
      </c>
      <c r="H23" s="7" t="s">
        <v>104</v>
      </c>
      <c r="I23" s="7" t="str">
        <f t="shared" si="3"/>
        <v>广告运营专员（学历：大专 专业要求：无）</v>
      </c>
      <c r="J23" s="7">
        <f t="shared" si="1"/>
        <v>215</v>
      </c>
      <c r="K23" s="7">
        <f>_xlfn.XLOOKUP(A23,长度要求!A:A,长度要求!E:E)</f>
        <v>500</v>
      </c>
      <c r="L23" s="7" t="str">
        <f t="shared" si="2"/>
        <v>岗位职责：1、与客户沟通，及时了解客户需求和广告投放计划；2、根据客户产品制定投放策略，指导客户有效执行；3、对广告投放进行效果监控，及时反馈，并定期制定数据分析报告；4、跟进续费事宜，维护客户关系，确保客户长期合作；5、定期拜访客户，了解需求和效果，以便做账户优化和调整。任职要求：1、专业不限，积极主动，执行力强，踏实稳定，有强烈责任心和沟通能力；2、能熟练运用excel、PPT等办公软件；3、实习生可免费提供住宿，可转正。</v>
      </c>
      <c r="N23" s="7">
        <f t="shared" si="4"/>
        <v>0</v>
      </c>
      <c r="O23" s="7">
        <f t="shared" si="5"/>
        <v>0</v>
      </c>
    </row>
    <row r="24" spans="1:15">
      <c r="A24" s="7">
        <f t="shared" si="0"/>
        <v>3</v>
      </c>
      <c r="B24" s="7" t="s">
        <v>105</v>
      </c>
      <c r="C24" s="8" t="s">
        <v>106</v>
      </c>
      <c r="D24" s="7" t="s">
        <v>107</v>
      </c>
      <c r="E24" s="7">
        <v>2</v>
      </c>
      <c r="F24" s="7" t="s">
        <v>18</v>
      </c>
      <c r="G24" s="8" t="s">
        <v>108</v>
      </c>
      <c r="H24" s="7" t="s">
        <v>82</v>
      </c>
      <c r="I24" s="7" t="str">
        <f t="shared" si="3"/>
        <v>会展项目执行及管理（学历：大专 专业要求：无）</v>
      </c>
      <c r="J24" s="7">
        <f t="shared" si="1"/>
        <v>272</v>
      </c>
      <c r="K24" s="7">
        <f>_xlfn.XLOOKUP(A24,长度要求!A:A,长度要求!E:E)</f>
        <v>500</v>
      </c>
      <c r="L24" s="7" t="str">
        <f t="shared" si="2"/>
        <v>1.项目策划与执行：参与展会项目的策划，包括但不限于确定展会主题、制定展会流程、安排展会时间表等，确保项目从策划到执行的顺利进行。2.沟通协调：与各部门、参展商、供应商等建立有效的沟通机制，确保信息的准确传达和项目的顺利推进。3.现场管理：在展会期间，负责现场的协调与管理工作，确保展会现场的秩序和安全。4.数据分析与报告：收集展会相关数据，进行分析并撰写报告，为公司的决策提供有力支持。岗位要求：展会现场执行、并辅助项目经理做好向下内部管理工作，例如：各类人员招募、礼品物料整理、了解基础搭建及制作知识，简单制作统计表等；具有一定的社交能力。</v>
      </c>
      <c r="N24" s="7">
        <f t="shared" si="4"/>
        <v>0</v>
      </c>
      <c r="O24" s="7">
        <f t="shared" si="5"/>
        <v>0</v>
      </c>
    </row>
    <row r="25" spans="1:15">
      <c r="A25" s="7">
        <f t="shared" si="0"/>
        <v>3</v>
      </c>
      <c r="B25" s="7" t="s">
        <v>109</v>
      </c>
      <c r="C25" s="8" t="s">
        <v>110</v>
      </c>
      <c r="D25" s="7" t="s">
        <v>111</v>
      </c>
      <c r="E25" s="7">
        <v>10</v>
      </c>
      <c r="F25" s="7" t="s">
        <v>18</v>
      </c>
      <c r="G25" s="8" t="s">
        <v>112</v>
      </c>
      <c r="H25" s="7" t="s">
        <v>113</v>
      </c>
      <c r="I25" s="7" t="str">
        <f t="shared" si="3"/>
        <v>展馆管理（学历：大专 专业要求：无）</v>
      </c>
      <c r="J25" s="7">
        <f t="shared" si="1"/>
        <v>119</v>
      </c>
      <c r="K25" s="7">
        <f>_xlfn.XLOOKUP(A25,长度要求!A:A,长度要求!E:E)</f>
        <v>500</v>
      </c>
      <c r="L25" s="7" t="str">
        <f t="shared" si="2"/>
        <v>岗位职责1.学习了解场馆内容主题，整理讲解词，向游客进行解说工作；2.负责场馆内指引接待工作，维护参观秩序；3.协助做好团队的其他工作。任职资格1.有亲和力，形象气质佳；2.有较强的语言表达能力，普通话标准；3.熟练掌握办公软件操作能力。</v>
      </c>
      <c r="N25" s="7">
        <f t="shared" si="4"/>
        <v>0</v>
      </c>
      <c r="O25" s="7">
        <f t="shared" si="5"/>
        <v>0</v>
      </c>
    </row>
    <row r="26" spans="1:15">
      <c r="A26" s="7">
        <f t="shared" si="0"/>
        <v>2</v>
      </c>
      <c r="B26" s="7" t="s">
        <v>114</v>
      </c>
      <c r="C26" s="8" t="s">
        <v>115</v>
      </c>
      <c r="D26" s="7" t="s">
        <v>116</v>
      </c>
      <c r="E26" s="7">
        <v>10</v>
      </c>
      <c r="F26" s="7" t="s">
        <v>18</v>
      </c>
      <c r="G26" s="8" t="s">
        <v>117</v>
      </c>
      <c r="H26" s="7" t="s">
        <v>29</v>
      </c>
      <c r="I26" s="7" t="str">
        <f t="shared" si="3"/>
        <v>家庭育婴师（学历：大专 专业要求：护理,学前教育,助产）</v>
      </c>
      <c r="J26" s="7">
        <f t="shared" si="1"/>
        <v>496</v>
      </c>
      <c r="K26" s="7">
        <f>_xlfn.XLOOKUP(A26,长度要求!A:A,长度要求!E:E)</f>
        <v>500</v>
      </c>
      <c r="L26" s="7" t="str">
        <f t="shared" si="2"/>
        <v>一、工作地点上海全市二、岗位职责-全面负责新生儿的生活照料，涵盖喂养、洗澡、抚触、更换尿布等环节，保障宝宝的清洁与舒适。-密切留意宝宝的生长发育状况，诸如身高、体重、睡眠、大小便等方面，一旦察觉异常立即向家长或医生反馈。-依据宝宝的年龄及发展阶段，精心制定科学合理的喂养计划与作息时间表，悉心培养宝宝良好的生活习惯。-开展早期教育与启蒙工作，借助游戏、互动等多种方式，推动宝宝的认知、语言、运动以及社交能力的发展。-承担宝宝衣物、用品的清洗与消毒工作，确保宝宝生活环境的整洁与卫生。-与家长保持高效且良好的沟通，深入了解家长的需求与关注重点，给予专业的育婴建议和指导。-协助家长妥善处理宝宝的其他相关事务，像就医、接种疫苗等。三、任职要求需要会做饭。持有专业的育婴师资格证书，例如育婴员职业资格证书等优先。具有早教中心、托育园、幼儿园实习经验者优先。对婴幼儿事业充满热爱，拥有爱心、耐心和责任心，具备良好的职业道德和素养。具备出色的沟通能力和团队协作精神，能够与家长及其他工作人员构建起良好的关系。身体健康，拥有良好的心理素质和抗压能力。具有一定的学习和创新能力，能够持续更新育婴知识和技能。</v>
      </c>
      <c r="M26" s="7" t="s">
        <v>118</v>
      </c>
      <c r="N26" s="7">
        <f t="shared" si="4"/>
        <v>10</v>
      </c>
      <c r="O26" s="7">
        <f t="shared" si="5"/>
        <v>3</v>
      </c>
    </row>
    <row r="27" spans="1:15">
      <c r="A27" s="7">
        <f t="shared" si="0"/>
        <v>3</v>
      </c>
      <c r="B27" s="7" t="s">
        <v>109</v>
      </c>
      <c r="C27" s="8" t="s">
        <v>110</v>
      </c>
      <c r="D27" s="7" t="s">
        <v>119</v>
      </c>
      <c r="E27" s="7">
        <v>2</v>
      </c>
      <c r="F27" s="7" t="s">
        <v>18</v>
      </c>
      <c r="G27" s="8" t="s">
        <v>120</v>
      </c>
      <c r="H27" s="7" t="s">
        <v>77</v>
      </c>
      <c r="I27" s="7" t="str">
        <f t="shared" si="3"/>
        <v>行政助理（学历：大专 专业要求：无）</v>
      </c>
      <c r="J27" s="7">
        <f t="shared" si="1"/>
        <v>402</v>
      </c>
      <c r="K27" s="7">
        <f>_xlfn.XLOOKUP(A27,长度要求!A:A,长度要求!E:E)</f>
        <v>500</v>
      </c>
      <c r="L27" s="7" t="str">
        <f t="shared" si="2"/>
        <v>岗位职责在带教人指导下，协助完成日常行政事务、文档处理、信息整理及基础沟通协调工作，同时熟悉办公流程与职场规范，提升基础办公技能。1.文档处理与资料管理-协助进行文档的录入、排版、打印、复印与装订，确保文档格式规范、内容准确。-参与资料的整理与归档，2.日常行政事务协助-负责办公区域的基础后勤支持，如整理办公环境、补充办公用品（笔、纸、打印机耗材等）、登记领用情况。-协助接待来访人员，做好引导、登记，通知相关同事对接；3.信息整理与数据统计-协助收集、整理各类基础信息，按照要求进行简单的分类与汇总。-及时更新基础信息台账，保证信息的时效性。4.沟通协调与事务跟进-协助在部门内部或跨部门间传递文件、传达简单通知，确保信息传递及时。-跟进简单事务的进展（如待办事项、任务反馈等），并向带教人或上级汇报进度。任职资格1.仔细认真，沟通协调能力较强；2.办公软件熟练；3.有意向在物业行业长期发展者优先。</v>
      </c>
      <c r="N27" s="7">
        <f t="shared" si="4"/>
        <v>0</v>
      </c>
      <c r="O27" s="7">
        <f t="shared" si="5"/>
        <v>0</v>
      </c>
    </row>
    <row r="28" spans="1:15">
      <c r="A28" s="7">
        <f t="shared" si="0"/>
        <v>2</v>
      </c>
      <c r="B28" s="7" t="s">
        <v>121</v>
      </c>
      <c r="C28" s="8" t="s">
        <v>122</v>
      </c>
      <c r="D28" s="7" t="s">
        <v>123</v>
      </c>
      <c r="E28" s="7">
        <v>30</v>
      </c>
      <c r="F28" s="7" t="s">
        <v>18</v>
      </c>
      <c r="G28" s="8" t="s">
        <v>124</v>
      </c>
      <c r="H28" s="7" t="s">
        <v>29</v>
      </c>
      <c r="I28" s="7" t="str">
        <f t="shared" si="3"/>
        <v>门店经理见习生（学历：大专 专业要求：无）</v>
      </c>
      <c r="J28" s="7">
        <f t="shared" si="1"/>
        <v>55</v>
      </c>
      <c r="K28" s="7">
        <f>_xlfn.XLOOKUP(A28,长度要求!A:A,长度要求!E:E)</f>
        <v>500</v>
      </c>
      <c r="L28" s="7" t="str">
        <f t="shared" si="2"/>
        <v>电信门店的整体运营与业绩达成，核心涵盖经营指标、团队管理、客户服务、营销与渠道协同、合规与风险控制等关键模块。</v>
      </c>
      <c r="N28" s="7">
        <f t="shared" si="4"/>
        <v>0</v>
      </c>
      <c r="O28" s="7">
        <f t="shared" si="5"/>
        <v>0</v>
      </c>
    </row>
    <row r="29" spans="1:15">
      <c r="A29" s="7">
        <f t="shared" si="0"/>
        <v>4</v>
      </c>
      <c r="B29" s="7" t="s">
        <v>125</v>
      </c>
      <c r="C29" s="8" t="s">
        <v>126</v>
      </c>
      <c r="D29" s="7" t="s">
        <v>127</v>
      </c>
      <c r="E29" s="7">
        <v>2</v>
      </c>
      <c r="F29" s="7" t="s">
        <v>18</v>
      </c>
      <c r="G29" s="8" t="s">
        <v>128</v>
      </c>
      <c r="H29" s="7" t="s">
        <v>97</v>
      </c>
      <c r="I29" s="7" t="str">
        <f t="shared" si="3"/>
        <v>电竞赛事直转播播控岗位实习生（学历：大专 专业要求：广播电视学,广播电视,广播影视节目制作,广播电视编导）</v>
      </c>
      <c r="J29" s="7">
        <f t="shared" si="1"/>
        <v>457</v>
      </c>
      <c r="K29" s="7">
        <f>_xlfn.XLOOKUP(A29,长度要求!A:A,长度要求!E:E)</f>
        <v>500</v>
      </c>
      <c r="L29" s="7" t="str">
        <f t="shared" si="2"/>
        <v>一、职位概述参与电竞赛事直转播工作，协助专业团队确保赛事直播的顺利进行。二、主要职责1.直播协助●深度参与电竞赛事直转播过程中的播控操作工作，包括但不限于设备的开启与关闭、信号切换、画面调整等。●密切监控直播信号，及时发现并反馈直播中的异常情况，确保直播质量。2.学习提升●学习电竞赛事直转播的流程和技术，熟悉各类播控设备的使用。●参加内部培训，提升专业技能和对电竞行业的认知。3.资料整理●整理电竞赛事直转播相关的技术资料和数据记录。●协助撰写简单的直播报告。4.播控任务●完成上级交办的其他与电竞赛事直转播播控相关的工作。内容包含但不限于导播切台、VCR、字幕机等。三、任职要求1.专业背景●传媒、广播电视、数字媒体技术、电子竞技等相关专业优先。2.技能要求●具备一定的计算机操作能力，熟悉常用办公软件。●对电竞有浓厚兴趣，了解电竞赛事直播特点，需要有一定的相关经验(社团、兼职等均可)。3.态度品质●工作认真负责，细心耐心，有较强的学习能力和团队合作精神。4.学历要求●大专以上学历，26届27届毕业生优先。</v>
      </c>
      <c r="M29" s="7" t="s">
        <v>129</v>
      </c>
      <c r="N29" s="7">
        <f t="shared" si="4"/>
        <v>26</v>
      </c>
      <c r="O29" s="7">
        <f t="shared" si="5"/>
        <v>4</v>
      </c>
    </row>
    <row r="30" spans="1:15">
      <c r="A30" s="7">
        <f t="shared" si="0"/>
        <v>4</v>
      </c>
      <c r="B30" s="7" t="s">
        <v>125</v>
      </c>
      <c r="C30" s="8" t="s">
        <v>126</v>
      </c>
      <c r="D30" s="7" t="s">
        <v>130</v>
      </c>
      <c r="E30" s="7">
        <v>2</v>
      </c>
      <c r="F30" s="7" t="s">
        <v>18</v>
      </c>
      <c r="G30" s="8" t="s">
        <v>131</v>
      </c>
      <c r="H30" s="7" t="s">
        <v>97</v>
      </c>
      <c r="I30" s="7" t="str">
        <f t="shared" si="3"/>
        <v>电竞赛事实习导演（学历：大专 专业要求：影视编导,新闻传播学类,新闻与传播,新闻传播学）</v>
      </c>
      <c r="J30" s="7">
        <f t="shared" si="1"/>
        <v>722</v>
      </c>
      <c r="K30" s="7">
        <f>_xlfn.XLOOKUP(A30,长度要求!A:A,长度要求!E:E)</f>
        <v>500</v>
      </c>
      <c r="L30" s="7" t="str">
        <f t="shared" si="2"/>
        <v>岗位概述：作为公司导演及创意方向的核心管培生，你将参与到行业细分领域最头部的各项电竞赛事及内容节目的全流程导演工作中。我们希望你具备自主学习、钻研创新、吃苦耐劳的优秀品质和能力，对游戏和电竞内容抱有浓厚兴趣与较高审美。公司会针对管培安排包含培训、考核、轮岗等多样化的培养计划，并对表现优秀者优先招聘录用。一、岗位职责：1.【创意策划】：协助总导演对接产品相关的线上线下活动的前期创意策划，能够根据客户的需求，协助分析赛事或活动举办的底层逻辑；2.【筹备推进】：根据策划方案，协助总导演深化产出流程RD、视觉包装设计等创意落地方案，协助并确保各项产出匹配预期规划，保证项目顺利完成；3.【沟通协作】：协助总导演做好内外部的沟通管理与协调工作。在跨部门协作中，能够帮助总导演做到及时高效精准的信息沟通，保持各部门之间良好持久的协作关系，有效帮助工作推进。熟练掌握英/日/韩等外语书面及口语沟通能力者加分；4.【落地执行】：赛事/活动执行的彩排与直播期间，协助总导演完成现场的执行导演工作；5【复盘总结】：协助总导演对完成项目进行总结复盘，系统化整理与分享经验。二、任职要求:1.大专及以上学历，影视编导、……</v>
      </c>
      <c r="M30" s="7" t="s">
        <v>132</v>
      </c>
      <c r="N30" s="7">
        <f t="shared" si="4"/>
        <v>23</v>
      </c>
      <c r="O30" s="7">
        <f t="shared" si="5"/>
        <v>4</v>
      </c>
    </row>
    <row r="31" spans="1:15">
      <c r="A31" s="7">
        <f t="shared" si="0"/>
        <v>2</v>
      </c>
      <c r="B31" s="7" t="s">
        <v>121</v>
      </c>
      <c r="C31" s="8" t="s">
        <v>122</v>
      </c>
      <c r="D31" s="7" t="s">
        <v>133</v>
      </c>
      <c r="E31" s="7">
        <v>30</v>
      </c>
      <c r="F31" s="7" t="s">
        <v>18</v>
      </c>
      <c r="G31" s="8" t="s">
        <v>134</v>
      </c>
      <c r="H31" s="7" t="s">
        <v>29</v>
      </c>
      <c r="I31" s="7" t="str">
        <f t="shared" si="3"/>
        <v>装维见习生（学历：大专 专业要求：无）</v>
      </c>
      <c r="J31" s="7">
        <f t="shared" si="1"/>
        <v>46</v>
      </c>
      <c r="K31" s="7">
        <f>_xlfn.XLOOKUP(A31,长度要求!A:A,长度要求!E:E)</f>
        <v>500</v>
      </c>
      <c r="L31" s="7" t="str">
        <f t="shared" si="2"/>
        <v>电信宽带、固定电话、IPTV等电信业务的安装与故障维修，同时承担客户沟通与网络简单维护任务。</v>
      </c>
      <c r="N31" s="7">
        <f t="shared" si="4"/>
        <v>0</v>
      </c>
      <c r="O31" s="7">
        <f t="shared" si="5"/>
        <v>0</v>
      </c>
    </row>
    <row r="32" spans="1:15">
      <c r="A32" s="7">
        <f t="shared" si="0"/>
        <v>4</v>
      </c>
      <c r="B32" s="7" t="s">
        <v>125</v>
      </c>
      <c r="C32" s="8" t="s">
        <v>126</v>
      </c>
      <c r="D32" s="7" t="s">
        <v>135</v>
      </c>
      <c r="E32" s="7">
        <v>2</v>
      </c>
      <c r="F32" s="7" t="s">
        <v>18</v>
      </c>
      <c r="G32" s="8" t="s">
        <v>136</v>
      </c>
      <c r="H32" s="7" t="s">
        <v>97</v>
      </c>
      <c r="I32" s="7" t="str">
        <f t="shared" si="3"/>
        <v>电竞赛事执行（学历：大专 专业要求：体育学类,广播影视节目制作,文化服务类,广告学）</v>
      </c>
      <c r="J32" s="7">
        <f t="shared" si="1"/>
        <v>427</v>
      </c>
      <c r="K32" s="7">
        <f>_xlfn.XLOOKUP(A32,长度要求!A:A,长度要求!E:E)</f>
        <v>500</v>
      </c>
      <c r="L32" s="7" t="str">
        <f t="shared" si="2"/>
        <v>一、游戏硬性要求：包括但不限于以下两款游戏，可接受入职之后再熟悉拳皇KOF全系列【1、拳皇KOF全系列（97-15均可），街霸6，铁拳等游戏，以上游戏单产品游戏时长50小时以上】【2、瓦罗兰特，游戏段位要求达到超凡】二、岗位要求：1、有拳皇系列&amp;街霸6等格斗游戏经验的优先；2、有国内城市办赛经验者优先；3、熟练excel、word、PPT等日常办公软件；4、熟悉市场主流游戏的游戏机制和赛事规则；5、具有一定沟通、抗压能力，擅长对接及协助工作；三、任职要求1.专业背景●传媒、广播电视、数字媒体技术、电子竞技等相关专业优先。2.技能要求●具备一定的计算机操作能力，熟悉常用办公软件。●对电竞有浓厚兴趣，了解电竞赛事直播特点。3.态度品质●工作认真负责，细心耐心，有较强的学习能力和团队合作精神。4.学历要求●大专以上学历，26届27届毕业生优先。小贴士：公司比较看重岗位匹配度，同时也致力于挖掘每一位求职者的潜在能力，让大家能在最适合的岗位上发光发热。</v>
      </c>
      <c r="M32" s="7" t="s">
        <v>137</v>
      </c>
      <c r="N32" s="7">
        <f t="shared" si="4"/>
        <v>23</v>
      </c>
      <c r="O32" s="7">
        <f t="shared" si="5"/>
        <v>4</v>
      </c>
    </row>
    <row r="33" spans="1:15">
      <c r="A33" s="7">
        <f t="shared" si="0"/>
        <v>4</v>
      </c>
      <c r="B33" s="7" t="s">
        <v>125</v>
      </c>
      <c r="C33" s="8" t="s">
        <v>126</v>
      </c>
      <c r="D33" s="7" t="s">
        <v>138</v>
      </c>
      <c r="E33" s="7">
        <v>2</v>
      </c>
      <c r="F33" s="7" t="s">
        <v>18</v>
      </c>
      <c r="G33" s="8" t="s">
        <v>139</v>
      </c>
      <c r="H33" s="7" t="s">
        <v>97</v>
      </c>
      <c r="I33" s="7" t="str">
        <f t="shared" si="3"/>
        <v>制片助理（学历：大专 专业要求：竞赛组织,新闻与传播,项目管理,文化服务类,广播影视类,广播影视节目制作,广告策划与营销）</v>
      </c>
      <c r="J33" s="7">
        <f t="shared" si="1"/>
        <v>472</v>
      </c>
      <c r="K33" s="7">
        <f>_xlfn.XLOOKUP(A33,长度要求!A:A,长度要求!E:E)</f>
        <v>500</v>
      </c>
      <c r="L33" s="7" t="str">
        <f t="shared" si="2"/>
        <v>任职要求​1、专业不限，对影视、广告等行业的制片工作有兴趣者优先；​2、具备清晰的逻辑思维能力，能够有条理地处理多项事务；​3、做事缜密细致，注重细节，有较强的责任心和执行力；​4、具备良好的沟通表达能力，能与团队成员及外部供应商有效协作；​5、熟练使用办公软件（如Word、Excel等），有一定的数据整理能力。岗位职责​1、制片事务执行：协助制片完成项目中与“吃喝住行”相关的各项预定及执行工作，包括但不限于预订拍摄期间的餐饮、住宿、交通等，确保各项安排准确无误，保障项目顺利推进。​2、验收与记录：负责对项目所需物资、服务等进行验收，并按要求进行拍照记录，确保相关资料的完整性和准确性，为后续工作提供可靠依据。​3、辅助结案制作：在项目结案阶段，积极配合团队完成相关资料的整理、汇总等辅助工作，助力顺利产出制作成果。​4、供应商沟通：与各类供应商保持良好沟通，及时传达需求、反馈问题，协调解决合作过程中的相关事宜，维护稳定的合作关系。​5、报销收集整理：负责收集项目相关的各类报销凭证，按照公司规定进行整理、核对，确保报销信息准确、完整。</v>
      </c>
      <c r="M33" s="7" t="s">
        <v>140</v>
      </c>
      <c r="N33" s="7">
        <f t="shared" si="4"/>
        <v>44</v>
      </c>
      <c r="O33" s="7">
        <f t="shared" si="5"/>
        <v>7</v>
      </c>
    </row>
    <row r="34" spans="1:15">
      <c r="A34" s="7">
        <f t="shared" si="0"/>
        <v>2</v>
      </c>
      <c r="B34" s="7" t="s">
        <v>141</v>
      </c>
      <c r="C34" s="8" t="s">
        <v>142</v>
      </c>
      <c r="D34" s="7" t="s">
        <v>143</v>
      </c>
      <c r="E34" s="7">
        <v>1</v>
      </c>
      <c r="F34" s="7" t="s">
        <v>18</v>
      </c>
      <c r="G34" s="8" t="s">
        <v>144</v>
      </c>
      <c r="H34" s="7" t="s">
        <v>77</v>
      </c>
      <c r="I34" s="7" t="str">
        <f t="shared" si="3"/>
        <v>打样纸板师（学历：大专 专业要求：无）</v>
      </c>
      <c r="J34" s="7">
        <f t="shared" si="1"/>
        <v>614</v>
      </c>
      <c r="K34" s="7">
        <f>_xlfn.XLOOKUP(A34,长度要求!A:A,长度要求!E:E)</f>
        <v>500</v>
      </c>
      <c r="L34" s="7" t="str">
        <f t="shared" si="2"/>
        <v>【岗位职责】负责服装款式的打板与制版工作：根据设计师提供的效果图、设计稿或样衣，精准制作纸样（含裁剪版、工艺版），确保版型符合设计风格与人体工学。样衣跟进与调整：配合样衣车间完成首件样衣制作，参与样衣试穿评审，根据试穿反馈（如尺寸偏差、版型舒适度）优化纸样，直至样衣合格。工艺文件输出：整理打板数据，制定详细的制版工艺说明（如缝份、缩率、面料特性适配方案），为生产车间提供清晰的技术指导。版型库管理：建立并维护公司版型数据库，分类归档不同款式、尺码的纸样文件，便于后续款式复用与优化。跨部门协作：与设计师、采购部（确认面料特性）、生产部（解决生产中的版型问题）高效配合，确保打板-制版-生产流程顺畅。【任职要求】学历与经验：中专及以上学历，服装相关专业（如服装工程、服装设计），1-3年及以上服装打板/制版经验（应届生可投递助理岗，需熟悉基础打板逻辑）。核心技能：熟练掌握手工打板技巧，能独立完成从净版到毛版的制作；精通制版软件（如富怡、ET、格柏Gerber等），可高效进行数字化制版与纸样修改；了解不同面料特性（如棉、丝、针织、弹力面料）对版型的影响，能针对性调整打板方案；熟悉服装号型标准（如G……</v>
      </c>
      <c r="N34" s="7">
        <f t="shared" si="4"/>
        <v>0</v>
      </c>
      <c r="O34" s="7">
        <f t="shared" si="5"/>
        <v>0</v>
      </c>
    </row>
    <row r="35" spans="1:15">
      <c r="A35" s="7">
        <f t="shared" si="0"/>
        <v>4</v>
      </c>
      <c r="B35" s="7" t="s">
        <v>145</v>
      </c>
      <c r="C35" s="8" t="s">
        <v>146</v>
      </c>
      <c r="D35" s="7" t="s">
        <v>147</v>
      </c>
      <c r="E35" s="7">
        <v>2</v>
      </c>
      <c r="F35" s="7" t="s">
        <v>18</v>
      </c>
      <c r="G35" s="8" t="s">
        <v>148</v>
      </c>
      <c r="H35" s="7" t="s">
        <v>20</v>
      </c>
      <c r="I35" s="7" t="str">
        <f t="shared" si="3"/>
        <v>数控操作（学历：大专 专业要求：无）</v>
      </c>
      <c r="J35" s="7">
        <f t="shared" si="1"/>
        <v>65</v>
      </c>
      <c r="K35" s="7">
        <f>_xlfn.XLOOKUP(A35,长度要求!A:A,长度要求!E:E)</f>
        <v>500</v>
      </c>
      <c r="L35" s="7" t="str">
        <f t="shared" si="2"/>
        <v>1、按作业指导书及设备操作规程，正确操作和保养数控机床2、对数控机床进行加工编程、线切割3、做好加工零件的自查，确保加工产品合格率</v>
      </c>
      <c r="N35" s="7">
        <f t="shared" si="4"/>
        <v>0</v>
      </c>
      <c r="O35" s="7">
        <f t="shared" si="5"/>
        <v>0</v>
      </c>
    </row>
    <row r="36" spans="1:15">
      <c r="A36" s="7">
        <f t="shared" si="0"/>
        <v>1</v>
      </c>
      <c r="B36" s="7" t="s">
        <v>149</v>
      </c>
      <c r="C36" s="8" t="s">
        <v>150</v>
      </c>
      <c r="D36" s="7" t="s">
        <v>151</v>
      </c>
      <c r="E36" s="7">
        <v>7</v>
      </c>
      <c r="F36" s="7" t="s">
        <v>18</v>
      </c>
      <c r="G36" s="8" t="s">
        <v>152</v>
      </c>
      <c r="H36" s="7" t="s">
        <v>82</v>
      </c>
      <c r="I36" s="7" t="str">
        <f t="shared" si="3"/>
        <v>助理产品工程师（学历：大专 专业要求：无）</v>
      </c>
      <c r="J36" s="7">
        <f t="shared" si="1"/>
        <v>326</v>
      </c>
      <c r="K36" s="7">
        <f>_xlfn.XLOOKUP(A36,长度要求!A:A,长度要求!E:E)</f>
        <v>500</v>
      </c>
      <c r="L36" s="7" t="str">
        <f t="shared" si="2"/>
        <v>岗位职责：1、通过相关培训能够快速适应生产作业，保证每个产品都是按照工艺要求生产；2、经过培训严格按照工艺要求熟练掌握产品组装、调试、测试；3、严格执行上级领导指派的工作任务；4、严格执行生产安全管理制度；5、遵守6S现场规章制度，保持生产线标准化工作环境；6、负责日常设备问题排查维修并输出维修报告。任职资格：1、机械，机电，电子，电气，通讯，无线电专业等工学专业；2、要求大专学历，应届毕业生或实习生；3、掌握基础电路、机械、钳工专业知识，会简单编程，熟练使用办公软件；4、能够接受不定时加班、户外测试，有驾驶证优先；5、有机械证书或者电工证优先；6、为人正直有较强的团队协助精神、勤奋好学、积极向上、有敬业精神，无不良嗜好。7、能尽快上岗者优先。</v>
      </c>
      <c r="N36" s="7">
        <f t="shared" si="4"/>
        <v>0</v>
      </c>
      <c r="O36" s="7">
        <f t="shared" si="5"/>
        <v>0</v>
      </c>
    </row>
    <row r="37" spans="1:15">
      <c r="A37" s="7">
        <f t="shared" si="0"/>
        <v>4</v>
      </c>
      <c r="B37" s="7" t="s">
        <v>145</v>
      </c>
      <c r="C37" s="8" t="s">
        <v>146</v>
      </c>
      <c r="D37" s="7" t="s">
        <v>153</v>
      </c>
      <c r="E37" s="7">
        <v>2</v>
      </c>
      <c r="F37" s="7" t="s">
        <v>18</v>
      </c>
      <c r="G37" s="8" t="s">
        <v>154</v>
      </c>
      <c r="H37" s="7" t="s">
        <v>20</v>
      </c>
      <c r="I37" s="7" t="str">
        <f t="shared" si="3"/>
        <v>电气维修（学历：大专 专业要求：无）</v>
      </c>
      <c r="J37" s="7">
        <f t="shared" si="1"/>
        <v>55</v>
      </c>
      <c r="K37" s="7">
        <f>_xlfn.XLOOKUP(A37,长度要求!A:A,长度要求!E:E)</f>
        <v>500</v>
      </c>
      <c r="L37" s="7" t="str">
        <f t="shared" si="2"/>
        <v>负责公司电气故障的排除；对公司内用电的分配、设计及用电管理工作；监督检查变电所管理制度的执行情况及备件管理工作</v>
      </c>
      <c r="N37" s="7">
        <f t="shared" si="4"/>
        <v>0</v>
      </c>
      <c r="O37" s="7">
        <f t="shared" si="5"/>
        <v>0</v>
      </c>
    </row>
    <row r="38" spans="1:15">
      <c r="A38" s="7">
        <f t="shared" si="0"/>
        <v>2</v>
      </c>
      <c r="B38" s="7" t="s">
        <v>155</v>
      </c>
      <c r="C38" s="8" t="s">
        <v>156</v>
      </c>
      <c r="D38" s="7" t="s">
        <v>157</v>
      </c>
      <c r="E38" s="7">
        <v>10</v>
      </c>
      <c r="F38" s="7" t="s">
        <v>18</v>
      </c>
      <c r="G38" s="8" t="s">
        <v>158</v>
      </c>
      <c r="H38" s="7" t="s">
        <v>29</v>
      </c>
      <c r="I38" s="7" t="str">
        <f t="shared" si="3"/>
        <v>智能建筑工程实习生（学历：大专 专业要求：建筑智能化工程技术）</v>
      </c>
      <c r="J38" s="7">
        <f t="shared" si="1"/>
        <v>125</v>
      </c>
      <c r="K38" s="7">
        <f>_xlfn.XLOOKUP(A38,长度要求!A:A,长度要求!E:E)</f>
        <v>500</v>
      </c>
      <c r="L38" s="7" t="str">
        <f t="shared" si="2"/>
        <v>通过参与智能建筑工程全流程（设计辅助、现场实施、调试配合、文档整理等）工作，帮助实习生掌握智能建筑系统（如楼宇自控、安防监控、综合布线等）的基本原理与实际应用，熟悉工程现场管理流程，培养工程实践能力与问题解决意识，为未来从事智能建筑相关工作奠定基础。</v>
      </c>
      <c r="M38" s="7" t="s">
        <v>159</v>
      </c>
      <c r="N38" s="7">
        <f t="shared" si="4"/>
        <v>9</v>
      </c>
      <c r="O38" s="7">
        <f t="shared" si="5"/>
        <v>1</v>
      </c>
    </row>
    <row r="39" spans="1:15">
      <c r="A39" s="7">
        <f t="shared" si="0"/>
        <v>4</v>
      </c>
      <c r="B39" s="7" t="s">
        <v>145</v>
      </c>
      <c r="C39" s="8" t="s">
        <v>146</v>
      </c>
      <c r="D39" s="7" t="s">
        <v>160</v>
      </c>
      <c r="E39" s="7">
        <v>2</v>
      </c>
      <c r="F39" s="7" t="s">
        <v>18</v>
      </c>
      <c r="G39" s="8" t="s">
        <v>161</v>
      </c>
      <c r="H39" s="7" t="s">
        <v>20</v>
      </c>
      <c r="I39" s="7" t="str">
        <f t="shared" si="3"/>
        <v>设备维修（学历：大专 专业要求：无）</v>
      </c>
      <c r="J39" s="7">
        <f t="shared" si="1"/>
        <v>53</v>
      </c>
      <c r="K39" s="7">
        <f>_xlfn.XLOOKUP(A39,长度要求!A:A,长度要求!E:E)</f>
        <v>500</v>
      </c>
      <c r="L39" s="7" t="str">
        <f t="shared" si="2"/>
        <v>对设备的机械、液压、气动系统的故障、磨损进行维修，确保生产；对设备进行点检、保养工作负责设备的日常报表填写</v>
      </c>
      <c r="N39" s="7">
        <f t="shared" si="4"/>
        <v>0</v>
      </c>
      <c r="O39" s="7">
        <f t="shared" si="5"/>
        <v>0</v>
      </c>
    </row>
    <row r="40" spans="1:15">
      <c r="A40" s="7">
        <f t="shared" si="0"/>
        <v>2</v>
      </c>
      <c r="B40" s="7" t="s">
        <v>162</v>
      </c>
      <c r="C40" s="8" t="s">
        <v>163</v>
      </c>
      <c r="D40" s="7" t="s">
        <v>164</v>
      </c>
      <c r="E40" s="7">
        <v>2</v>
      </c>
      <c r="F40" s="7" t="s">
        <v>18</v>
      </c>
      <c r="G40" s="8" t="s">
        <v>165</v>
      </c>
      <c r="H40" s="7" t="s">
        <v>166</v>
      </c>
      <c r="I40" s="7" t="str">
        <f t="shared" si="3"/>
        <v>平面设计（学历：大专 专业要求：视觉传达设计）</v>
      </c>
      <c r="J40" s="7">
        <f t="shared" si="1"/>
        <v>178</v>
      </c>
      <c r="K40" s="7">
        <f>_xlfn.XLOOKUP(A40,长度要求!A:A,长度要求!E:E)</f>
        <v>500</v>
      </c>
      <c r="L40" s="7" t="str">
        <f t="shared" si="2"/>
        <v>岗位职责1、负责公司宣传材料、册页等的设计与整合。2、精通PS、AI等设计软件。3、参与设计讨论，和业务团队共同创建用户界面，跟踪设计效果，提出设计优化方案。4、良好的团队精神，工作踏实稳定。岗位要求1、全日制大专或以上学历，艺术设计类相关专业毕业。2、有实习经验者优先，能独立完成设计方案。3、会使用CAD做平面布局图者优先。4、会渲染三维效果图者优先。</v>
      </c>
      <c r="M40" s="7" t="s">
        <v>167</v>
      </c>
      <c r="N40" s="7">
        <f t="shared" si="4"/>
        <v>6</v>
      </c>
      <c r="O40" s="7">
        <f t="shared" si="5"/>
        <v>1</v>
      </c>
    </row>
    <row r="41" spans="1:15">
      <c r="A41" s="7">
        <f t="shared" si="0"/>
        <v>4</v>
      </c>
      <c r="B41" s="7" t="s">
        <v>145</v>
      </c>
      <c r="C41" s="8" t="s">
        <v>146</v>
      </c>
      <c r="D41" s="7" t="s">
        <v>168</v>
      </c>
      <c r="E41" s="7">
        <v>2</v>
      </c>
      <c r="F41" s="7" t="s">
        <v>18</v>
      </c>
      <c r="G41" s="8" t="s">
        <v>169</v>
      </c>
      <c r="H41" s="7" t="s">
        <v>20</v>
      </c>
      <c r="I41" s="7" t="str">
        <f t="shared" si="3"/>
        <v>质量检验员（学历：大专 专业要求：无）</v>
      </c>
      <c r="J41" s="7">
        <f t="shared" si="1"/>
        <v>146</v>
      </c>
      <c r="K41" s="7">
        <f>_xlfn.XLOOKUP(A41,长度要求!A:A,长度要求!E:E)</f>
        <v>500</v>
      </c>
      <c r="L41" s="7" t="str">
        <f t="shared" si="2"/>
        <v>1、做好检验状态的表示，按规定放置各类产品技师处理废品2、按检验规程做好产品首检、巡检、工艺纪律监督工作并对检验过程中发现的不合格现象、违反工艺的情况技师通知操作者纠正3、按照工艺规程、检验规程实施完工检，发现异常情况及时向有关人员反馈，保证不合格品不转序4、当天产品当天清，即将产品及时检验</v>
      </c>
      <c r="N41" s="7">
        <f t="shared" si="4"/>
        <v>0</v>
      </c>
      <c r="O41" s="7">
        <f t="shared" si="5"/>
        <v>0</v>
      </c>
    </row>
    <row r="42" spans="1:15">
      <c r="A42" s="7">
        <f t="shared" si="0"/>
        <v>2</v>
      </c>
      <c r="B42" s="7" t="s">
        <v>162</v>
      </c>
      <c r="C42" s="8" t="s">
        <v>163</v>
      </c>
      <c r="D42" s="7" t="s">
        <v>170</v>
      </c>
      <c r="E42" s="7">
        <v>2</v>
      </c>
      <c r="F42" s="7" t="s">
        <v>18</v>
      </c>
      <c r="G42" s="8" t="s">
        <v>171</v>
      </c>
      <c r="H42" s="7" t="s">
        <v>166</v>
      </c>
      <c r="I42" s="7" t="str">
        <f t="shared" si="3"/>
        <v>AI虚拟数字人拍摄制作专员（学历：大专 专业要求：无）</v>
      </c>
      <c r="J42" s="7">
        <f t="shared" si="1"/>
        <v>482</v>
      </c>
      <c r="K42" s="7">
        <f>_xlfn.XLOOKUP(A42,长度要求!A:A,长度要求!E:E)</f>
        <v>500</v>
      </c>
      <c r="L42" s="7" t="str">
        <f t="shared" si="2"/>
        <v>岗位职责:1、负责AI虚拟数字人的形象设计、动态捕捉及视频拍摄全流程制作，包括前期策划、场景搭建、灯光调试等。2、使用动作捕捉设备(如光学/惯性动捕系统)、面部表情捕捉技术等，完成数字人的高精度动作与表情数据采集。3、配合A|算法团队，优化数字人的语音、表情、肢体动作的同步性与自然度提升拟真效果。4、负责虚拟拍摄现场的设备调试(如摄像机追踪、虚拟引擎实时渲染等)，确保拍摄效率与质量。5、跟踪行业技术趋势，探索A数字人在直播、短视频、影视等领域的创新应用场景。岗位要求:1、熟悉虚拟制作流程，有动作捕捉(如Vicon、OptiTrack)、面部捕捉(如Faceware、iPhoneARKit)或影视拍摄经验。2、掌握至少一款3D制作工具(如Blender、Maya、UnrealEngine、Unity)能完成基础模型调整与场景搭建。3、了解A|数字人相关技术(如语音合成、TTS、NLP)，有AI工具(如D-D、Synthesia)使用经验者优先。4、具备良好的镜头语言和审美能力，能独立完成脚本分镜设计及后期剪辑(熟悉Premiere、DaVinci等)。</v>
      </c>
      <c r="N42" s="7">
        <f t="shared" si="4"/>
        <v>0</v>
      </c>
      <c r="O42" s="7">
        <f t="shared" si="5"/>
        <v>0</v>
      </c>
    </row>
    <row r="43" spans="1:15">
      <c r="A43" s="7">
        <f t="shared" si="0"/>
        <v>1</v>
      </c>
      <c r="B43" s="7" t="s">
        <v>172</v>
      </c>
      <c r="C43" s="8" t="s">
        <v>173</v>
      </c>
      <c r="D43" s="7" t="s">
        <v>174</v>
      </c>
      <c r="E43" s="7">
        <v>10</v>
      </c>
      <c r="F43" s="7" t="s">
        <v>27</v>
      </c>
      <c r="G43" s="8" t="s">
        <v>175</v>
      </c>
      <c r="H43" s="7" t="s">
        <v>176</v>
      </c>
      <c r="I43" s="7" t="str">
        <f t="shared" si="3"/>
        <v>弹幕游戏互动主播（学历：初中及以下 专业要求：无）</v>
      </c>
      <c r="J43" s="7">
        <f t="shared" si="1"/>
        <v>679</v>
      </c>
      <c r="K43" s="7">
        <f>_xlfn.XLOOKUP(A43,长度要求!A:A,长度要求!E:E)</f>
        <v>500</v>
      </c>
      <c r="L43" s="7" t="str">
        <f t="shared" si="2"/>
        <v>年满18岁，接受无经验从业者，新手小白，弹幕游戏就是抖音最新直播间弹幕游戏玩法，直播间可以不露脸露不露脸看自己个人意愿，主要就是烘托直播间PK赛况的气氛，拉动观众互动率，不用会玩游戏，不需要你上手操作，解说游戏赛况实时即可。岗位职责:1.负责直播抖音平台弹幕实时互动类游戏，直播游戏玩法2.正常上手后，开播六小时。配合公司运营下播复盘3.运营团队跟播，每日下播复盘，成熟话术提供，打造专属你个人的弹幕游戏直播间4.不需要你去维护大哥大姐，抖音平台自动分流，对新人流量扶持极大5.无任何培训费用，接受新手小白0经验，能快速上手6.公司提供专业电脑以及声卡设备，老人带播任职要求：1.公司可接受新手小白0经验新人从业者，应届生，在校大学生，有无经验均可，有直播行业从业经验优先考虑。2.零基础操作，无需懂太多游戏操作，只要你敢开口说话，性格外向活泼开朗，善于沟通，情商高。3.无任何形象上的要求，不需要才艺，年龄没有限制，学历没有要求，只需要你情商高会说话，敢说话，胆子大月入过万不再是梦想工作时间：每日工作六小时不加班，不需要一直坐班，稳定后可以自己挑选时间段播可以居家办公，节假日正常放假。薪资待遇：……</v>
      </c>
      <c r="N43" s="7">
        <f t="shared" si="4"/>
        <v>0</v>
      </c>
      <c r="O43" s="7">
        <f t="shared" si="5"/>
        <v>0</v>
      </c>
    </row>
    <row r="44" spans="1:15">
      <c r="A44" s="7">
        <f t="shared" si="0"/>
        <v>2</v>
      </c>
      <c r="B44" s="7" t="s">
        <v>114</v>
      </c>
      <c r="C44" s="8" t="s">
        <v>115</v>
      </c>
      <c r="D44" s="7" t="s">
        <v>116</v>
      </c>
      <c r="E44" s="7">
        <v>20</v>
      </c>
      <c r="F44" s="7" t="s">
        <v>27</v>
      </c>
      <c r="G44" s="8" t="s">
        <v>177</v>
      </c>
      <c r="H44" s="7" t="s">
        <v>178</v>
      </c>
      <c r="I44" s="7" t="str">
        <f t="shared" si="3"/>
        <v>家庭育婴师（学历：初中及以下 专业要求：学前教育,学前教育学,护理学,护理,护理学类,护理类,卫生教育,儿科学,妇幼保健医学,预防医学）</v>
      </c>
      <c r="J44" s="7">
        <f t="shared" si="1"/>
        <v>529</v>
      </c>
      <c r="K44" s="7">
        <f>_xlfn.XLOOKUP(A44,长度要求!A:A,长度要求!E:E)</f>
        <v>500</v>
      </c>
      <c r="L44" s="7" t="str">
        <f t="shared" si="2"/>
        <v>可选择白班或住家1.全面负责新生儿的生活照料，涵盖喂养、洗澡、抚触、更换尿布等环节，保障宝宝的清洁与舒适。2.密切留意宝宝的生长发育状况，诸如身高、体重、睡眠、大小便等方面，一旦察觉异常立即向家长或医生反馈。3.依据宝宝的年龄及发展阶段，精心制定科学合理的喂养计划与作息时间表，悉心培养宝宝良好的生活习惯。4.开展早期教育与启蒙工作，借助游戏、互动等多种方式，推动宝宝的认知、语言、运动以及社交能力的发展。5.承担宝宝衣物、用品的清洗与消毒工作，确保宝宝生活环境的整洁与卫生。6.与家长保持高效且良好的沟通，深入了解家长的需求与关注重点，给予专业的育婴建议和指导。7.协助家长妥善处理宝宝的其他相关事务，像就医、接种疫苗等。任职要求对婴幼儿事业充满热爱，拥有爱心、耐心和责任心，具备良好的职业道德和素养。具备出色的沟通能力和团队协作精神，能够与家长及其他工作人员构建起良好的关系。身体健康，无传染性疾病，拥有良好的心理素质和抗压能力。具有一定的学习和创新能力，能够持续更新育婴知识和技能。有相关从业经验、实习经验者优先；护理专业、学前教育专业、婴幼儿托育专业优先；有乐器、舞蹈、声乐、英语、绘画等特长……</v>
      </c>
      <c r="M44" s="7" t="s">
        <v>179</v>
      </c>
      <c r="N44" s="7">
        <f t="shared" si="4"/>
        <v>47</v>
      </c>
      <c r="O44" s="7">
        <f t="shared" si="5"/>
        <v>10</v>
      </c>
    </row>
    <row r="45" spans="1:15">
      <c r="A45" s="7">
        <f t="shared" si="0"/>
        <v>5</v>
      </c>
      <c r="B45" s="7" t="s">
        <v>180</v>
      </c>
      <c r="C45" s="8" t="s">
        <v>181</v>
      </c>
      <c r="D45" s="7" t="s">
        <v>182</v>
      </c>
      <c r="E45" s="7">
        <v>5</v>
      </c>
      <c r="F45" s="7" t="s">
        <v>18</v>
      </c>
      <c r="G45" s="8" t="s">
        <v>183</v>
      </c>
      <c r="H45" s="7" t="s">
        <v>184</v>
      </c>
      <c r="I45" s="7" t="str">
        <f t="shared" si="3"/>
        <v>安装维护（学历：大专 专业要求：无）</v>
      </c>
      <c r="J45" s="7">
        <f t="shared" si="1"/>
        <v>140</v>
      </c>
      <c r="K45" s="7">
        <f>_xlfn.XLOOKUP(A45,长度要求!A:A,长度要求!E:E)</f>
        <v>500</v>
      </c>
      <c r="L45" s="7" t="str">
        <f t="shared" si="2"/>
        <v>支持公司安装维护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v>
      </c>
      <c r="N45" s="7">
        <f t="shared" si="4"/>
        <v>0</v>
      </c>
      <c r="O45" s="7">
        <f t="shared" si="5"/>
        <v>0</v>
      </c>
    </row>
    <row r="46" spans="1:15">
      <c r="A46" s="7">
        <f t="shared" si="0"/>
        <v>5</v>
      </c>
      <c r="B46" s="7" t="s">
        <v>180</v>
      </c>
      <c r="C46" s="8" t="s">
        <v>181</v>
      </c>
      <c r="D46" s="7" t="s">
        <v>185</v>
      </c>
      <c r="E46" s="7">
        <v>5</v>
      </c>
      <c r="F46" s="7" t="s">
        <v>18</v>
      </c>
      <c r="G46" s="8" t="s">
        <v>186</v>
      </c>
      <c r="H46" s="7" t="s">
        <v>184</v>
      </c>
      <c r="I46" s="7" t="str">
        <f t="shared" si="3"/>
        <v>销售助理（学历：大专 专业要求：无）</v>
      </c>
      <c r="J46" s="7">
        <f t="shared" si="1"/>
        <v>134</v>
      </c>
      <c r="K46" s="7">
        <f>_xlfn.XLOOKUP(A46,长度要求!A:A,长度要求!E:E)</f>
        <v>500</v>
      </c>
      <c r="L46" s="7" t="str">
        <f t="shared" si="2"/>
        <v>协助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v>
      </c>
      <c r="N46" s="7">
        <f t="shared" si="4"/>
        <v>0</v>
      </c>
      <c r="O46" s="7">
        <f t="shared" si="5"/>
        <v>0</v>
      </c>
    </row>
    <row r="47" spans="1:15">
      <c r="A47" s="7">
        <f t="shared" si="0"/>
        <v>5</v>
      </c>
      <c r="B47" s="7" t="s">
        <v>180</v>
      </c>
      <c r="C47" s="8" t="s">
        <v>181</v>
      </c>
      <c r="D47" s="7" t="s">
        <v>187</v>
      </c>
      <c r="E47" s="7">
        <v>5</v>
      </c>
      <c r="F47" s="7" t="s">
        <v>18</v>
      </c>
      <c r="G47" s="8" t="s">
        <v>188</v>
      </c>
      <c r="H47" s="7" t="s">
        <v>184</v>
      </c>
      <c r="I47" s="7" t="str">
        <f t="shared" si="3"/>
        <v>技术支持（学历：大专 专业要求：无）</v>
      </c>
      <c r="J47" s="7">
        <f t="shared" si="1"/>
        <v>137</v>
      </c>
      <c r="K47" s="7">
        <f>_xlfn.XLOOKUP(A47,长度要求!A:A,长度要求!E:E)</f>
        <v>500</v>
      </c>
      <c r="L47" s="7" t="str">
        <f t="shared" si="2"/>
        <v>支持公司技术支持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v>
      </c>
      <c r="N47" s="7">
        <f t="shared" si="4"/>
        <v>0</v>
      </c>
      <c r="O47" s="7">
        <f t="shared" si="5"/>
        <v>0</v>
      </c>
    </row>
    <row r="48" spans="1:15">
      <c r="A48" s="7">
        <f t="shared" si="0"/>
        <v>5</v>
      </c>
      <c r="B48" s="7" t="s">
        <v>189</v>
      </c>
      <c r="C48" s="8" t="s">
        <v>190</v>
      </c>
      <c r="D48" s="7" t="s">
        <v>191</v>
      </c>
      <c r="E48" s="7">
        <v>3</v>
      </c>
      <c r="F48" s="7" t="s">
        <v>192</v>
      </c>
      <c r="G48" s="8" t="s">
        <v>193</v>
      </c>
      <c r="H48" s="7" t="s">
        <v>70</v>
      </c>
      <c r="I48" s="7" t="str">
        <f t="shared" si="3"/>
        <v>质检员（学历：本科 专业要求：无）</v>
      </c>
      <c r="J48" s="7">
        <f t="shared" si="1"/>
        <v>103</v>
      </c>
      <c r="K48" s="7">
        <f>_xlfn.XLOOKUP(A48,长度要求!A:A,长度要求!E:E)</f>
        <v>500</v>
      </c>
      <c r="L48" s="7" t="str">
        <f t="shared" si="2"/>
        <v>任职及岗位要求：1.较强的学习、交流、沟通能力，具有团队合作精神2.为人诚信，工作认真负责，高度敬业精神,服从团队工作安排。3.熟练办公自动化软件（word,excel,PPT等）工作地点：上海或外派办事处</v>
      </c>
      <c r="N48" s="7">
        <f t="shared" si="4"/>
        <v>0</v>
      </c>
      <c r="O48" s="7">
        <f t="shared" si="5"/>
        <v>0</v>
      </c>
    </row>
    <row r="49" spans="1:15">
      <c r="A49" s="7">
        <f t="shared" si="0"/>
        <v>4</v>
      </c>
      <c r="B49" s="7" t="s">
        <v>194</v>
      </c>
      <c r="C49" s="8" t="s">
        <v>195</v>
      </c>
      <c r="D49" s="7" t="s">
        <v>196</v>
      </c>
      <c r="E49" s="7">
        <v>5</v>
      </c>
      <c r="F49" s="7" t="s">
        <v>34</v>
      </c>
      <c r="G49" s="8" t="s">
        <v>197</v>
      </c>
      <c r="H49" s="7" t="s">
        <v>184</v>
      </c>
      <c r="I49" s="7" t="str">
        <f t="shared" si="3"/>
        <v>汽车学徒（学历：中专/技校 专业要求：无）</v>
      </c>
      <c r="J49" s="7">
        <f t="shared" si="1"/>
        <v>104</v>
      </c>
      <c r="K49" s="7">
        <f>_xlfn.XLOOKUP(A49,长度要求!A:A,长度要求!E:E)</f>
        <v>500</v>
      </c>
      <c r="L49" s="7" t="str">
        <f t="shared" si="2"/>
        <v>1、严格依照标准化操作流程进行对车辆全车抛光、打蜡工作/钣金/轮胎2、施工结束后对施工结果进行自检，保证施工质量3、维护好本车间的环境卫生，保持车间整洁，保管好施工设备和施工工具4、服从公司调度及上级领导安排</v>
      </c>
      <c r="N49" s="7">
        <f t="shared" si="4"/>
        <v>0</v>
      </c>
      <c r="O49" s="7">
        <f t="shared" si="5"/>
        <v>0</v>
      </c>
    </row>
    <row r="50" spans="1:15">
      <c r="A50" s="7">
        <f t="shared" si="0"/>
        <v>5</v>
      </c>
      <c r="B50" s="7" t="s">
        <v>189</v>
      </c>
      <c r="C50" s="8" t="s">
        <v>190</v>
      </c>
      <c r="D50" s="7" t="s">
        <v>119</v>
      </c>
      <c r="E50" s="7">
        <v>3</v>
      </c>
      <c r="F50" s="7" t="s">
        <v>192</v>
      </c>
      <c r="G50" s="8" t="s">
        <v>198</v>
      </c>
      <c r="H50" s="7" t="s">
        <v>70</v>
      </c>
      <c r="I50" s="7" t="str">
        <f t="shared" si="3"/>
        <v>行政助理（学历：本科 专业要求：行政管理,人力资源管理,文秘类）</v>
      </c>
      <c r="J50" s="7">
        <f t="shared" si="1"/>
        <v>135</v>
      </c>
      <c r="K50" s="7">
        <f>_xlfn.XLOOKUP(A50,长度要求!A:A,长度要求!E:E)</f>
        <v>500</v>
      </c>
      <c r="L50" s="7" t="str">
        <f t="shared" si="2"/>
        <v>任职及岗位要求：1.为人诚信，工作认真负责，高度敬业精神。2.协助管理层内部行政沟通协调及文档管理，文字功底较好。3.协助并陪同公司高层接待和拜访公司重要客户。4.管理层培训与拓展的策划和安排。5.社会公益等非经营性活动的参与安排。6.本岗位优先考虑女性。工作地点：上海</v>
      </c>
      <c r="M50" s="7" t="s">
        <v>199</v>
      </c>
      <c r="N50" s="7">
        <f t="shared" si="4"/>
        <v>15</v>
      </c>
      <c r="O50" s="7">
        <f t="shared" si="5"/>
        <v>3</v>
      </c>
    </row>
    <row r="51" spans="1:15">
      <c r="A51" s="7">
        <f t="shared" si="0"/>
        <v>5</v>
      </c>
      <c r="B51" s="7" t="s">
        <v>189</v>
      </c>
      <c r="C51" s="8" t="s">
        <v>190</v>
      </c>
      <c r="D51" s="7" t="s">
        <v>200</v>
      </c>
      <c r="E51" s="7">
        <v>10</v>
      </c>
      <c r="F51" s="7" t="s">
        <v>18</v>
      </c>
      <c r="G51" s="8" t="s">
        <v>201</v>
      </c>
      <c r="H51" s="7" t="s">
        <v>70</v>
      </c>
      <c r="I51" s="7" t="str">
        <f t="shared" si="3"/>
        <v>调试及服务人员（学历：大专 专业要求：机械工程,机械设计制造及其自动化,机械制造及其自动化,机械设计及理论,机械设计与制造,机械制造与自动化,机械装备制造技术,船舶机械工程技术,机械类,机械）</v>
      </c>
      <c r="J51" s="7">
        <f t="shared" si="1"/>
        <v>210</v>
      </c>
      <c r="K51" s="7">
        <f>_xlfn.XLOOKUP(A51,长度要求!A:A,长度要求!E:E)</f>
        <v>500</v>
      </c>
      <c r="L51" s="7" t="str">
        <f t="shared" si="2"/>
        <v>任职及岗位要求:1.职高及以上文凭（机电一体化或机械自动化优先）2.勤奋肯学，善于同现场客户沟通，为人正直。3.通过短时间培训，能够看懂机械液压设备的装配图、系统原理图、管路图等，根据图纸完成厂内机械液压设备装配、调试。4.通过短时间培训可以根据图纸的技术要求完成机械液压设备调试5.根据电气图纸进行简单的查线，端子图接线，会简单电脑操作6.胜任在厂内及现场对液压设备的安装和调试工作进行指导。工作地点：上海或外派办事处</v>
      </c>
      <c r="M51" s="7" t="s">
        <v>202</v>
      </c>
      <c r="N51" s="7">
        <f t="shared" si="4"/>
        <v>76</v>
      </c>
      <c r="O51" s="7">
        <f t="shared" si="5"/>
        <v>10</v>
      </c>
    </row>
    <row r="52" spans="1:15">
      <c r="A52" s="7">
        <f t="shared" si="0"/>
        <v>5</v>
      </c>
      <c r="B52" s="7" t="s">
        <v>189</v>
      </c>
      <c r="C52" s="8" t="s">
        <v>190</v>
      </c>
      <c r="D52" s="7" t="s">
        <v>203</v>
      </c>
      <c r="E52" s="7">
        <v>5</v>
      </c>
      <c r="F52" s="7" t="s">
        <v>192</v>
      </c>
      <c r="G52" s="8" t="s">
        <v>204</v>
      </c>
      <c r="H52" s="7" t="s">
        <v>205</v>
      </c>
      <c r="I52" s="7" t="str">
        <f t="shared" si="3"/>
        <v>机械电气工程师（学历：本科 专业要求：机械工程,机械设计制造及其自动化,机械制造及其自动化,机械设计及理论,机械设计与制造,船舶机械工程技术,工程机械运用技术,机械类,机械,机械设计制造类）</v>
      </c>
      <c r="J52" s="7">
        <f t="shared" si="1"/>
        <v>130</v>
      </c>
      <c r="K52" s="7">
        <f>_xlfn.XLOOKUP(A52,长度要求!A:A,长度要求!E:E)</f>
        <v>500</v>
      </c>
      <c r="L52" s="7" t="str">
        <f t="shared" si="2"/>
        <v>任职及岗位要求:1.为人诚信，工作认真负责，高度敬业精神。2.较强的学习、交流、沟通能力，具有团队合作精神。3.基本的机械液压相关知识，专业课程学分良好。4.熟练使用工程相关绘图软件，主要负责机械液压配套电气设计工作，机电一体化尤佳。工作地点：上海或外派办事处</v>
      </c>
      <c r="M52" s="7" t="s">
        <v>206</v>
      </c>
      <c r="N52" s="7">
        <f t="shared" si="4"/>
        <v>75</v>
      </c>
      <c r="O52" s="7">
        <f t="shared" si="5"/>
        <v>10</v>
      </c>
    </row>
    <row r="53" spans="1:15">
      <c r="A53" s="7">
        <f t="shared" si="0"/>
        <v>1</v>
      </c>
      <c r="B53" s="7" t="s">
        <v>207</v>
      </c>
      <c r="C53" s="8" t="s">
        <v>208</v>
      </c>
      <c r="D53" s="7" t="s">
        <v>209</v>
      </c>
      <c r="E53" s="7">
        <v>6</v>
      </c>
      <c r="F53" s="7" t="s">
        <v>18</v>
      </c>
      <c r="G53" s="8" t="s">
        <v>210</v>
      </c>
      <c r="H53" s="7" t="s">
        <v>211</v>
      </c>
      <c r="I53" s="7" t="str">
        <f t="shared" si="3"/>
        <v>物流单证报关实习生（学历：大专 专业要求：物流管理,报关与国际货运,国际贸易实务）</v>
      </c>
      <c r="J53" s="7">
        <f t="shared" si="1"/>
        <v>335</v>
      </c>
      <c r="K53" s="7">
        <f>_xlfn.XLOOKUP(A53,长度要求!A:A,长度要求!E:E)</f>
        <v>500</v>
      </c>
      <c r="L53" s="7" t="str">
        <f t="shared" si="2"/>
        <v>物流单证报关实习生（浦东机场/双休/早9晚5）岗位职责：1、关务单证的收取、录入、整理、登记等；2、进出口报关输单、制单；3、操作文档的整理归档等；4、完成上级布置的其他任务。岗位要求：1、大专及以上学历，2026年毕业生；2、国际贸易、报关、物流管理专业优先；3、良好的学习能力，沟通能力，性格开朗，主动性强；4、word、excel软件操作熟练；5、家住上海浦东机场或祝桥镇周边地区。实习周期：周一—周五，结业完毕后依据实习期考核，表现优异者，进行正式录用及建立劳动关系；团队介绍：年轻活力的团队，专业资深的导师，舒适明亮的办公室；实习福利：实习160元/天，外加20元/天餐补。地址：浦东新区闻居路1333号A座608室闵行区莲花南路2288号杨浦区大连路688号</v>
      </c>
      <c r="M53" s="7" t="s">
        <v>212</v>
      </c>
      <c r="N53" s="7">
        <f t="shared" si="4"/>
        <v>19</v>
      </c>
      <c r="O53" s="7">
        <f t="shared" si="5"/>
        <v>3</v>
      </c>
    </row>
    <row r="54" spans="1:15">
      <c r="A54" s="7">
        <f t="shared" si="0"/>
        <v>1</v>
      </c>
      <c r="B54" s="7" t="s">
        <v>213</v>
      </c>
      <c r="C54" s="8" t="s">
        <v>214</v>
      </c>
      <c r="D54" s="7" t="s">
        <v>215</v>
      </c>
      <c r="E54" s="7">
        <v>3</v>
      </c>
      <c r="F54" s="7" t="s">
        <v>18</v>
      </c>
      <c r="G54" s="8" t="s">
        <v>216</v>
      </c>
      <c r="H54" s="7" t="s">
        <v>217</v>
      </c>
      <c r="I54" s="7" t="str">
        <f t="shared" si="3"/>
        <v>云计算与AI算力运维工程师（学历：大专 专业要求：云计算技术与应用,人工智能技术服务）</v>
      </c>
      <c r="J54" s="7">
        <f t="shared" si="1"/>
        <v>305</v>
      </c>
      <c r="K54" s="7">
        <f>_xlfn.XLOOKUP(A54,长度要求!A:A,长度要求!E:E)</f>
        <v>500</v>
      </c>
      <c r="L54" s="7" t="str">
        <f t="shared" si="2"/>
        <v>1.云架构设计与实施：参与设计高可用、高并发、可扩展的云基础架构方案（主要为IOT相关系统），参与人工智能算力架构设计，并负责将其落地实施。2.云计算与人工智能算力资源管理：管理和维护公司在公有云（如AWS、华为云、阿里云等）上的计算、存储、网络和安全资源。3.运维与监控：建立和完善监控、告警和日志系统，确保云上应用的稳定运行，并能快速定位并给出长期解决方案；对于中间件设定参数的确认，是否合理或者根据相关指标能及时调整。4.成本优化：监控和分析云资源使用情况，提出并实施成本优化方案，控制云支出。5.安全与合规：实施云安全最佳实践，负责网络访问控制、安全组策略、数据加密等，确保基础设施符合安全与合规要求。</v>
      </c>
      <c r="M54" s="7" t="s">
        <v>218</v>
      </c>
      <c r="N54" s="7">
        <f t="shared" si="4"/>
        <v>17</v>
      </c>
      <c r="O54" s="7">
        <f t="shared" si="5"/>
        <v>2</v>
      </c>
    </row>
    <row r="55" spans="1:15">
      <c r="A55" s="7">
        <f t="shared" si="0"/>
        <v>5</v>
      </c>
      <c r="B55" s="7" t="s">
        <v>219</v>
      </c>
      <c r="C55" s="8" t="s">
        <v>220</v>
      </c>
      <c r="D55" s="7" t="s">
        <v>221</v>
      </c>
      <c r="E55" s="7">
        <v>5</v>
      </c>
      <c r="F55" s="7" t="s">
        <v>18</v>
      </c>
      <c r="G55" s="8" t="s">
        <v>222</v>
      </c>
      <c r="H55" s="7" t="s">
        <v>166</v>
      </c>
      <c r="I55" s="7" t="str">
        <f t="shared" si="3"/>
        <v>无线电调试岗（学历：大专 专业要求：无）</v>
      </c>
      <c r="J55" s="7">
        <f t="shared" si="1"/>
        <v>25</v>
      </c>
      <c r="K55" s="7">
        <f>_xlfn.XLOOKUP(A55,长度要求!A:A,长度要求!E:E)</f>
        <v>500</v>
      </c>
      <c r="L55" s="7" t="str">
        <f t="shared" si="2"/>
        <v>机械、电子类相关专业，有仪器、仪表使用经验者优先。</v>
      </c>
      <c r="N55" s="7">
        <f t="shared" si="4"/>
        <v>0</v>
      </c>
      <c r="O55" s="7">
        <f t="shared" si="5"/>
        <v>0</v>
      </c>
    </row>
    <row r="56" spans="1:15">
      <c r="A56" s="7">
        <f t="shared" si="0"/>
        <v>5</v>
      </c>
      <c r="B56" s="7" t="s">
        <v>219</v>
      </c>
      <c r="C56" s="8" t="s">
        <v>220</v>
      </c>
      <c r="D56" s="7" t="s">
        <v>223</v>
      </c>
      <c r="E56" s="7">
        <v>3</v>
      </c>
      <c r="F56" s="7" t="s">
        <v>18</v>
      </c>
      <c r="G56" s="8" t="s">
        <v>224</v>
      </c>
      <c r="H56" s="7" t="s">
        <v>166</v>
      </c>
      <c r="I56" s="7" t="str">
        <f t="shared" si="3"/>
        <v>机械装配岗（学历：大专 专业要求：无）</v>
      </c>
      <c r="J56" s="7">
        <f t="shared" si="1"/>
        <v>20</v>
      </c>
      <c r="K56" s="7">
        <f>_xlfn.XLOOKUP(A56,长度要求!A:A,长度要求!E:E)</f>
        <v>500</v>
      </c>
      <c r="L56" s="7" t="str">
        <f t="shared" si="2"/>
        <v>结构与机构装配岗，有技能等级证书者优先。</v>
      </c>
      <c r="N56" s="7">
        <f t="shared" si="4"/>
        <v>0</v>
      </c>
      <c r="O56" s="7">
        <f t="shared" si="5"/>
        <v>0</v>
      </c>
    </row>
    <row r="57" spans="1:15">
      <c r="A57" s="7">
        <f t="shared" si="0"/>
        <v>1</v>
      </c>
      <c r="B57" s="7" t="s">
        <v>225</v>
      </c>
      <c r="C57" s="8" t="s">
        <v>226</v>
      </c>
      <c r="D57" s="7" t="s">
        <v>227</v>
      </c>
      <c r="E57" s="7">
        <v>10</v>
      </c>
      <c r="F57" s="7" t="s">
        <v>18</v>
      </c>
      <c r="G57" s="8" t="s">
        <v>228</v>
      </c>
      <c r="H57" s="7" t="s">
        <v>67</v>
      </c>
      <c r="I57" s="7" t="str">
        <f t="shared" si="3"/>
        <v>档案信息采集员（学历：大专 专业要求：档案学,图书档案管理）</v>
      </c>
      <c r="J57" s="7">
        <f t="shared" si="1"/>
        <v>331</v>
      </c>
      <c r="K57" s="7">
        <f>_xlfn.XLOOKUP(A57,长度要求!A:A,长度要求!E:E)</f>
        <v>500</v>
      </c>
      <c r="L57" s="7" t="str">
        <f t="shared" si="2"/>
        <v>岗位名称及职责：整理员：将单位档案资料整理清楚，页码连贯、目录对应。扫描员：将单位档案资料通过扫描仪进行扫描处理，形成电子格式文档。质检员：检查扫描图像是否合格，并加以更正修改。录入员：将单位档案的封面信息、当事人信息、目录信息通过录入软件输入系统内。装订员：将数字化处理完的档案进行三孔一线的装订。岗位要求：1、大专及以上学历，专业不限；2、扫描员、质检员、录入员必须懂得电脑基本操作，熟练掌握OFFICE等办公软件。年龄18~35周岁，男女不限。扫描员要求动作迅速麻利，质检员要求认真仔细，录入员要求打字速度较快，五笔拼音皆可。整理员、装订员无需使用电脑，要求认真仔细，吃苦耐劳。3、入职需签署保密协议、提供无犯罪记录证明。4、着装得体，遵守单位和公司纪律。</v>
      </c>
      <c r="M57" s="7" t="s">
        <v>229</v>
      </c>
      <c r="N57" s="7">
        <f t="shared" si="4"/>
        <v>10</v>
      </c>
      <c r="O57" s="7">
        <f t="shared" si="5"/>
        <v>2</v>
      </c>
    </row>
    <row r="58" spans="1:15">
      <c r="A58" s="7">
        <f t="shared" si="0"/>
        <v>1</v>
      </c>
      <c r="B58" s="7" t="s">
        <v>230</v>
      </c>
      <c r="C58" s="8" t="s">
        <v>231</v>
      </c>
      <c r="D58" s="7" t="s">
        <v>232</v>
      </c>
      <c r="E58" s="7">
        <v>5</v>
      </c>
      <c r="F58" s="7" t="s">
        <v>18</v>
      </c>
      <c r="G58" s="8" t="s">
        <v>233</v>
      </c>
      <c r="H58" s="7" t="s">
        <v>234</v>
      </c>
      <c r="I58" s="7" t="str">
        <f t="shared" si="3"/>
        <v>公交车定向培训驾驶员（学历：大专 专业要求：交通运输类）</v>
      </c>
      <c r="J58" s="7">
        <f t="shared" si="1"/>
        <v>239</v>
      </c>
      <c r="K58" s="7">
        <f>_xlfn.XLOOKUP(A58,长度要求!A:A,长度要求!E:E)</f>
        <v>500</v>
      </c>
      <c r="L58" s="7" t="str">
        <f t="shared" si="2"/>
        <v>1、具有本市户籍的，大专或以上应届毕业生。2、无不良社会记录，如拘留、劳改、判刑、吸毒史等。3、身体健康，有良好的反应能力及沟通能力。4、经用人单位面试、政审、体检合格后，签订“三方”（企业、驾校、个人）培训协议书（自费26000元），参加企业驾驶员定向培训。作为城市的名片及服务的窗口，公交车驾驶员需以热情饱满的精神面貌，良好的服务素养，独立担任线路车辆的营运，根据相关规定的线路与班式，保障公众出行的安全与便利。安全驾驶，维护公交车辆的车貌与车况，为广大乘客提供优质的服务。</v>
      </c>
      <c r="M58" s="7" t="s">
        <v>235</v>
      </c>
      <c r="N58" s="7">
        <f t="shared" si="4"/>
        <v>5</v>
      </c>
      <c r="O58" s="7">
        <f t="shared" si="5"/>
        <v>1</v>
      </c>
    </row>
    <row r="59" spans="1:15">
      <c r="A59" s="7">
        <f t="shared" si="0"/>
        <v>5</v>
      </c>
      <c r="B59" s="7" t="s">
        <v>63</v>
      </c>
      <c r="C59" s="8" t="s">
        <v>64</v>
      </c>
      <c r="D59" s="7" t="s">
        <v>236</v>
      </c>
      <c r="E59" s="7">
        <v>5</v>
      </c>
      <c r="F59" s="7" t="s">
        <v>18</v>
      </c>
      <c r="G59" s="8" t="s">
        <v>237</v>
      </c>
      <c r="H59" s="7" t="s">
        <v>67</v>
      </c>
      <c r="I59" s="7" t="str">
        <f t="shared" si="3"/>
        <v>单证员（学历：大专 专业要求：无）</v>
      </c>
      <c r="J59" s="7">
        <f t="shared" si="1"/>
        <v>233</v>
      </c>
      <c r="K59" s="7">
        <f>_xlfn.XLOOKUP(A59,长度要求!A:A,长度要求!E:E)</f>
        <v>500</v>
      </c>
      <c r="L59" s="7" t="str">
        <f t="shared" si="2"/>
        <v>负责托书准确的录入负责MBL&amp;HOUSEBILL的核对、更改、申领及签发；熟悉各个船公司、各航线的制单要求；负责费用的录入及确认工作；负责VGM的审核确认及系统导入工作；做好单证及文件的整理和归档任职要求：具有中专以上学历，同行业三个月以上工作经验；能熟练使用电脑，中英文打字速度快，能熟练运用OFFICE操作软件。较强的学习能力，肯吃苦耐劳，对本职工作有着强烈的责任心，耐心、细致、谨慎地对待日常单证工作；有良好的语言表达能力，善于沟通、交流，具有团队合作的精神；</v>
      </c>
      <c r="N59" s="7">
        <f t="shared" si="4"/>
        <v>0</v>
      </c>
      <c r="O59" s="7">
        <f t="shared" si="5"/>
        <v>0</v>
      </c>
    </row>
    <row r="60" spans="1:15">
      <c r="A60" s="7">
        <f t="shared" si="0"/>
        <v>2</v>
      </c>
      <c r="B60" s="7" t="s">
        <v>238</v>
      </c>
      <c r="C60" s="8" t="s">
        <v>239</v>
      </c>
      <c r="D60" s="7" t="s">
        <v>240</v>
      </c>
      <c r="E60" s="7">
        <v>5</v>
      </c>
      <c r="F60" s="7" t="s">
        <v>18</v>
      </c>
      <c r="G60" s="8" t="s">
        <v>241</v>
      </c>
      <c r="H60" s="7" t="s">
        <v>242</v>
      </c>
      <c r="I60" s="7" t="str">
        <f t="shared" si="3"/>
        <v>机械电工（学历：大专 专业要求：机械工程,机械设计制造及其自动化,机械制造及其自动化,机械电子工程）</v>
      </c>
      <c r="J60" s="7">
        <f t="shared" si="1"/>
        <v>105</v>
      </c>
      <c r="K60" s="7">
        <f>_xlfn.XLOOKUP(A60,长度要求!A:A,长度要求!E:E)</f>
        <v>500</v>
      </c>
      <c r="L60" s="7" t="str">
        <f t="shared" si="2"/>
        <v>本岗位要求:1、3年以上非标自动化设备电气装配，有低压电工证，2、能看懂图纸3、会布线排线，会对点4、熟悉电气控制柜排布、电气元器件功能;5、熟练掌握电工的基本操作技能和工具6、能接受加班，能接受短期、临时出差</v>
      </c>
      <c r="M60" s="7" t="s">
        <v>243</v>
      </c>
      <c r="N60" s="7">
        <f t="shared" si="4"/>
        <v>33</v>
      </c>
      <c r="O60" s="7">
        <f t="shared" si="5"/>
        <v>4</v>
      </c>
    </row>
    <row r="61" spans="1:15">
      <c r="A61" s="7">
        <f t="shared" si="0"/>
        <v>2</v>
      </c>
      <c r="B61" s="7" t="s">
        <v>238</v>
      </c>
      <c r="C61" s="8" t="s">
        <v>239</v>
      </c>
      <c r="D61" s="7" t="s">
        <v>244</v>
      </c>
      <c r="E61" s="7">
        <v>5</v>
      </c>
      <c r="F61" s="7" t="s">
        <v>18</v>
      </c>
      <c r="G61" s="8" t="s">
        <v>245</v>
      </c>
      <c r="H61" s="7" t="s">
        <v>246</v>
      </c>
      <c r="I61" s="7" t="str">
        <f t="shared" si="3"/>
        <v>高级java开发工程师（学历：大专 专业要求：计算机科学与技术,电子与计算机工程,计算机网络技术,计算机应用技术,计算机应用工程）</v>
      </c>
      <c r="J61" s="7">
        <f t="shared" si="1"/>
        <v>745</v>
      </c>
      <c r="K61" s="7">
        <f>_xlfn.XLOOKUP(A61,长度要求!A:A,长度要求!E:E)</f>
        <v>500</v>
      </c>
      <c r="L61" s="7" t="str">
        <f t="shared" si="2"/>
        <v>岗位职责1.参与公司产品或项目的需求分析、设计与开发，根据业务需求完成高质量代码编写，实现系统功能模块；2.负责后端系统的架构设计、搭建与优化，确保系统的稳定性、性能和可扩展性，保障系统高效稳定运行；3.与前端开发团队紧密协作，定义数据接口规范，完成前后端数据交互开发，确保项目整体功能的完整性和流畅性；4.进行数据库设计、优化和维护，熟练编写SQL语句，处理复杂的数据操作和事务管理，保障数据的准确性和安全性；5.编写详细准确的技术文档，包括设计文档、接口文档、使用说明等，为团队协作和系统维护提供支持6.独立解决和处理所负责的项目的运维和监控，及时处理生产环境中的故障和问题，保障系统的可用性和稳定性；7.持续关注行业技术发展趋势，引入新技术、新工具，优化现有技术方案和开发流程，提升团队技术水平和开发效率。任职要求1.专科及以上学历，计算机科学与技术、软件工程、机械、自动化等相关专业优先。2.具有5年以上Java开发经验，有完整的项目开发经验，能够独立承担模块开发任务3.扎实的Java基础知识，熟悉常用设计模式，对多线程、并发编程、JVM原理及调优有深入理解。4.熟练掌握Spring、Sp……</v>
      </c>
      <c r="M61" s="7" t="s">
        <v>247</v>
      </c>
      <c r="N61" s="7">
        <f t="shared" si="4"/>
        <v>41</v>
      </c>
      <c r="O61" s="7">
        <f t="shared" si="5"/>
        <v>5</v>
      </c>
    </row>
    <row r="62" spans="1:15">
      <c r="A62" s="7">
        <f t="shared" si="0"/>
        <v>3</v>
      </c>
      <c r="B62" s="7" t="s">
        <v>248</v>
      </c>
      <c r="C62" s="8" t="s">
        <v>249</v>
      </c>
      <c r="D62" s="7" t="s">
        <v>250</v>
      </c>
      <c r="E62" s="7">
        <v>5</v>
      </c>
      <c r="F62" s="7" t="s">
        <v>18</v>
      </c>
      <c r="G62" s="8" t="s">
        <v>251</v>
      </c>
      <c r="H62" s="7" t="s">
        <v>252</v>
      </c>
      <c r="I62" s="7" t="str">
        <f t="shared" si="3"/>
        <v>科技馆店员（学历：大专 专业要求：无）</v>
      </c>
      <c r="J62" s="7">
        <f t="shared" si="1"/>
        <v>290</v>
      </c>
      <c r="K62" s="7">
        <f>_xlfn.XLOOKUP(A62,长度要求!A:A,长度要求!E:E)</f>
        <v>500</v>
      </c>
      <c r="L62" s="7" t="str">
        <f t="shared" si="2"/>
        <v>岗位职责:1、服务引导：承担游客的引导、与游玩提供基础服务2、活动与执行人员：负责组织场馆内活动、及其他互动项目，提升游客的参与感和体验感，同时配合其他部门完成临时性工作3、设备维护人员：负责场馆内展品及设备的日常维护与检修，确保展品功能正常，为游客提供良好的互动体验4、安全与秩序管理人员：负责维护场馆内外的秩序，确保游客环境安全，并处理突发情况，如人员疏散或紧急救援5、其他辅助人员：根据实际需求，配合其他部门完成临时性工作，如场馆清洁、车辆协调等任职要求:1、有1年以上儿童乐园、亲子场馆工作经验优先2、有良好的服务意识，亲善友好，能主动为顾客解决问题3、较强的口头沟通能力</v>
      </c>
      <c r="N62" s="7">
        <f t="shared" si="4"/>
        <v>0</v>
      </c>
      <c r="O62" s="7">
        <f t="shared" si="5"/>
        <v>0</v>
      </c>
    </row>
    <row r="63" spans="1:15">
      <c r="A63" s="7">
        <f t="shared" si="0"/>
        <v>3</v>
      </c>
      <c r="B63" s="7" t="s">
        <v>248</v>
      </c>
      <c r="C63" s="8" t="s">
        <v>249</v>
      </c>
      <c r="D63" s="7" t="s">
        <v>253</v>
      </c>
      <c r="E63" s="7">
        <v>2</v>
      </c>
      <c r="F63" s="7" t="s">
        <v>18</v>
      </c>
      <c r="G63" s="8" t="s">
        <v>254</v>
      </c>
      <c r="H63" s="7" t="s">
        <v>252</v>
      </c>
      <c r="I63" s="7" t="str">
        <f t="shared" si="3"/>
        <v>技术服务实习生（学历：大专 专业要求：无）</v>
      </c>
      <c r="J63" s="7">
        <f t="shared" si="1"/>
        <v>202</v>
      </c>
      <c r="K63" s="7">
        <f>_xlfn.XLOOKUP(A63,长度要求!A:A,长度要求!E:E)</f>
        <v>500</v>
      </c>
      <c r="L63" s="7" t="str">
        <f t="shared" si="2"/>
        <v>工作职责1、处理用户咨询与反馈，提供专业、及时的解答；2、协助分析客户诉求，推动问题高效解决；3、记录并整理客诉数据，为产品优化提供支持；4、团队协作，共同提升用户满意度。任职要求1、本科及以上学历，专业不限，有客服或机构教育经验者优先；2、具备优秀的沟通能力和同理心，能耐心应对各种用户场景；3、逻辑清晰，善于总结，对数据敏感；4、积极主动，有责任心和团队精神；5、对教育科技、机器人行业感兴趣者加分！</v>
      </c>
      <c r="N63" s="7">
        <f t="shared" si="4"/>
        <v>0</v>
      </c>
      <c r="O63" s="7">
        <f t="shared" si="5"/>
        <v>0</v>
      </c>
    </row>
    <row r="64" spans="1:15">
      <c r="A64" s="7">
        <f t="shared" si="0"/>
        <v>3</v>
      </c>
      <c r="B64" s="7" t="s">
        <v>248</v>
      </c>
      <c r="C64" s="8" t="s">
        <v>249</v>
      </c>
      <c r="D64" s="7" t="s">
        <v>255</v>
      </c>
      <c r="E64" s="7">
        <v>2</v>
      </c>
      <c r="F64" s="7" t="s">
        <v>18</v>
      </c>
      <c r="G64" s="8" t="s">
        <v>256</v>
      </c>
      <c r="H64" s="7" t="s">
        <v>252</v>
      </c>
      <c r="I64" s="7" t="str">
        <f t="shared" si="3"/>
        <v>研学交付实习生（学历：大专 专业要求：无）</v>
      </c>
      <c r="J64" s="7">
        <f t="shared" si="1"/>
        <v>338</v>
      </c>
      <c r="K64" s="7">
        <f>_xlfn.XLOOKUP(A64,长度要求!A:A,长度要求!E:E)</f>
        <v>500</v>
      </c>
      <c r="L64" s="7" t="str">
        <f t="shared" si="2"/>
        <v>AI机器人幼儿中小学教育背景工作职责1．协助机器人研学活动前期物料、教具准备与检查工作；2．支持活动现场执行，辅助主讲导师完成教学任务；3．经过培训，可独立进行展厅/工厂等内容讲解，组织学生课程活动;4．负责活动现场照片、视频等素材拍摄及整理；5．参与活动后设备回收、物料清点、场地整理及反馈数据的收集与汇总；6．完成团队负责人安排的其他相关工作。任职要求1．专科及以上学历，理工科、教育类、学前教育相关专业背景优先。2．有机器人、编程、无人机经验者优先；3．具备较强的动手能力和沟通能力，乐于接触新科技产品；4．拥有出色的沟通表达和互动引导能力，喜欢孩子，有耐心和热情；5．责任心强，积极主动，注重细节，具备优秀的团队协作精神；6．根据活动需求，适应偶尔周末工作（有调休）。</v>
      </c>
      <c r="N64" s="7">
        <f t="shared" si="4"/>
        <v>0</v>
      </c>
      <c r="O64" s="7">
        <f t="shared" si="5"/>
        <v>0</v>
      </c>
    </row>
    <row r="65" spans="1:15">
      <c r="A65" s="7">
        <f t="shared" si="0"/>
        <v>1</v>
      </c>
      <c r="B65" s="7" t="s">
        <v>257</v>
      </c>
      <c r="C65" s="8" t="s">
        <v>258</v>
      </c>
      <c r="D65" s="7" t="s">
        <v>259</v>
      </c>
      <c r="E65" s="7">
        <v>5</v>
      </c>
      <c r="F65" s="7" t="s">
        <v>18</v>
      </c>
      <c r="G65" s="8" t="s">
        <v>260</v>
      </c>
      <c r="H65" s="7" t="s">
        <v>261</v>
      </c>
      <c r="I65" s="7" t="str">
        <f t="shared" si="3"/>
        <v>美容师（学历：大专 专业要求：无）</v>
      </c>
      <c r="J65" s="7">
        <f t="shared" si="1"/>
        <v>337</v>
      </c>
      <c r="K65" s="7">
        <f>_xlfn.XLOOKUP(A65,长度要求!A:A,长度要求!E:E)</f>
        <v>500</v>
      </c>
      <c r="L65" s="7" t="str">
        <f t="shared" si="2"/>
        <v>工作职责：1、为顾客提供皮肤护理、美容服务；2、安装美容仪器要求、程序、性能进行美容护理操作；3、保持工作环境的干净整洁；4、学习产品知识和专业技术，不断提高自身职业素质和技能。任职要求：1、形象好、气质佳，在20-40岁之间；2、有一年以上美容、仪器操作经验。有针清祛痘经验的优先3、沟通理解能力强、技术手法好，有服务意识；4、具有亲和力和团队精神，有上进心5、销售能力强的优先考虑薪资福利：1、试用期有保底工资2、转正后工资底薪+提成+奖金，具体详谈，薪资优厚，阶段性考核通过底薪提高3、提供宿舍4、完整的晋升通道：美容师-资深美容师-美容顾问-储备店长-店长5、带薪年假，生日福利，各种额外福利6、试用期过了享受员工福利价购买公司产品，以及免费做脱毛清洁等基础护理项目</v>
      </c>
      <c r="N65" s="7">
        <f t="shared" si="4"/>
        <v>0</v>
      </c>
      <c r="O65" s="7">
        <f t="shared" si="5"/>
        <v>0</v>
      </c>
    </row>
    <row r="66" spans="1:15">
      <c r="A66" s="7">
        <f t="shared" ref="A66:A129" si="6">COUNTIF(B:B,B66)</f>
        <v>3</v>
      </c>
      <c r="B66" s="7" t="s">
        <v>262</v>
      </c>
      <c r="C66" s="8" t="s">
        <v>263</v>
      </c>
      <c r="D66" s="7" t="s">
        <v>264</v>
      </c>
      <c r="E66" s="7">
        <v>2</v>
      </c>
      <c r="F66" s="7" t="s">
        <v>18</v>
      </c>
      <c r="G66" s="8" t="s">
        <v>265</v>
      </c>
      <c r="H66" s="7" t="s">
        <v>266</v>
      </c>
      <c r="I66" s="7" t="str">
        <f t="shared" si="3"/>
        <v>暖通设计师（学历：大专 专业要求：建筑环境与能源应用工程,能源与动力工程,供热通风与空调工程技术,环境工程,建筑设备工程技术,土木工程）</v>
      </c>
      <c r="J66" s="7">
        <f t="shared" ref="J66:J129" si="7">LEN(G66)</f>
        <v>390</v>
      </c>
      <c r="K66" s="7">
        <f>_xlfn.XLOOKUP(A66,长度要求!A:A,长度要求!E:E)</f>
        <v>500</v>
      </c>
      <c r="L66" s="7" t="str">
        <f t="shared" ref="L66:L129" si="8">IF(J66&lt;K66,G66,LEFT(G66,K66)&amp;"……")</f>
        <v>（一）岗位要求​学历与专业​本科及以上学历，建筑环境与能源应用工程、能源与动力工程（建筑环境方向）、土木工程（建筑设备方向）等相关专业。​成绩优良，核心课程（暖通空调、供热工程、通风工程、建筑节能技术等）无挂科记录。​知识与技能​掌握暖通系统设计基础理论，了解《民用建筑供暖通风与空气调节设计规范》等行业标准；​能熟练使用AutoCAD绘制暖通图纸，具备Revit、鸿业暖通等设计软件基础操作能力者优先；​了解BIM技术在暖通设计中的应用，有课程设计、毕业设计（如办公楼空调系统设计）经验者优先。​素质与能力​具备较强的逻辑思维与方案梳理能力，能清晰表达设计思路；​工作严谨细致，有责任心，具备团队协作意识；​主动学习行业新技术（如绿色建筑、智能暖通），适应项目型工作节奏。​其他​持有CAD工程师认证、BIM技能等级证书者优先；​参与过“人环奖”、高校暖通设计竞赛等赛事者优先。</v>
      </c>
      <c r="M66" s="7" t="s">
        <v>267</v>
      </c>
      <c r="N66" s="7">
        <f t="shared" si="4"/>
        <v>50</v>
      </c>
      <c r="O66" s="7">
        <f t="shared" si="5"/>
        <v>6</v>
      </c>
    </row>
    <row r="67" spans="1:15">
      <c r="A67" s="7">
        <f t="shared" si="6"/>
        <v>3</v>
      </c>
      <c r="B67" s="7" t="s">
        <v>262</v>
      </c>
      <c r="C67" s="8" t="s">
        <v>263</v>
      </c>
      <c r="D67" s="7" t="s">
        <v>268</v>
      </c>
      <c r="E67" s="7">
        <v>3</v>
      </c>
      <c r="F67" s="7" t="s">
        <v>18</v>
      </c>
      <c r="G67" s="8" t="s">
        <v>269</v>
      </c>
      <c r="H67" s="7" t="s">
        <v>270</v>
      </c>
      <c r="I67" s="7" t="str">
        <f t="shared" ref="I67:I130" si="9">_xlfn.CONCAT(D67,"（学历：",F67," 专业要求：",IF(ISBLANK(M67),"无",M67),"）")</f>
        <v>中央空调维修技术员（学历：大专 专业要求：制冷与空调技术,供热通风与空调工程技术,机电设备安装技术,建筑智能化工程技术,机电一体化技术）</v>
      </c>
      <c r="J67" s="7">
        <f t="shared" si="7"/>
        <v>351</v>
      </c>
      <c r="K67" s="7">
        <f>_xlfn.XLOOKUP(A67,长度要求!A:A,长度要求!E:E)</f>
        <v>500</v>
      </c>
      <c r="L67" s="7" t="str">
        <f t="shared" si="8"/>
        <v>（一）岗位要求​学历与专业​大专及以上学历，供热通风与空调工程技术、机电一体化技术、建筑设备工程技术等相关专业。​知识与技能​掌握中央空调系统（水冷机组、风冷热泵、VRV多联机等）的工作原理与组成结构；​能使用万用表、钳形表等工具检测电气故障，了解制冷系统打压、抽真空、加氟等基础操作；​熟悉中央空调控制系统（如PLC、变频控制）基础原理者优先，有金工实习、设备拆装实训经验者优先。​素质与能力​动手能力强，能适应一定的现场作业（如机房巡检、设备维修）；​具备较强的问题排查能力与应急处理意识，能清晰记录维修过程；​吃苦耐劳，服从工作安排（部分项目需短途出差或轮班巡检）。​其他​持有制冷与空调作业特种作业操作证（低压电工证）者优先；​参与过高校机电设备维修竞赛、实习期间从事过中央空调运维工作者优先。</v>
      </c>
      <c r="M67" s="7" t="s">
        <v>271</v>
      </c>
      <c r="N67" s="7">
        <f t="shared" ref="N67:N130" si="10">LEN(M67)</f>
        <v>46</v>
      </c>
      <c r="O67" s="7">
        <f t="shared" ref="O67:O130" si="11">IF(ISBLANK(M67),0,COUNTA(_xlfn.TEXTSPLIT(M67,",")))</f>
        <v>5</v>
      </c>
    </row>
    <row r="68" spans="1:15">
      <c r="A68" s="7">
        <f t="shared" si="6"/>
        <v>3</v>
      </c>
      <c r="B68" s="7" t="s">
        <v>262</v>
      </c>
      <c r="C68" s="8" t="s">
        <v>263</v>
      </c>
      <c r="D68" s="7" t="s">
        <v>272</v>
      </c>
      <c r="E68" s="7">
        <v>2</v>
      </c>
      <c r="F68" s="7" t="s">
        <v>18</v>
      </c>
      <c r="G68" s="8" t="s">
        <v>273</v>
      </c>
      <c r="H68" s="7" t="s">
        <v>274</v>
      </c>
      <c r="I68" s="7" t="str">
        <f t="shared" si="9"/>
        <v>造价工程师（学历：大专 专业要求：建筑环境与能源应用工程,工程造价,能源与动力工程,供热通风与空调工程技术,建设工程管理,建筑工程技术）</v>
      </c>
      <c r="J68" s="7">
        <f t="shared" si="7"/>
        <v>353</v>
      </c>
      <c r="K68" s="7">
        <f>_xlfn.XLOOKUP(A68,长度要求!A:A,长度要求!E:E)</f>
        <v>500</v>
      </c>
      <c r="L68" s="7" t="str">
        <f t="shared" si="8"/>
        <v>（一）岗位要求​学历与专业​本科及以上学历，工程造价、建筑环境与能源应用工程、土木工程等相关专业。​熟悉暖通设备（空调机组、风机、散热器等）型号与市场价格者优先。​知识与技能​掌握工程造价基础理论，了解《建设工程工程量清单计价规范》，能识别暖通工程图纸；​能熟练使用广联达、鲁班等造价软件进行工程量计算与套价，有课程设计（如暖通工程预算编制）经验者优先；​了解暖通工程施工流程，能结合施工工艺分析造价组成。​素质与能力​具备较强的数据分析能力与细节把控能力，对数字敏感；​沟通表达清晰，能与设计、施工团队协同对接造价问题；​学习能力强，愿意主动了解建材市场价格波动与政策调整（如增值税率变化）。​其他​持有二级造价工程师（基础科目）合格证明者优先；​参与过高校工程造价竞赛、实习期间接触过暖通预算工作者优先</v>
      </c>
      <c r="M68" s="7" t="s">
        <v>275</v>
      </c>
      <c r="N68" s="7">
        <f t="shared" si="10"/>
        <v>50</v>
      </c>
      <c r="O68" s="7">
        <f t="shared" si="11"/>
        <v>6</v>
      </c>
    </row>
    <row r="69" spans="1:15">
      <c r="A69" s="7">
        <f t="shared" si="6"/>
        <v>5</v>
      </c>
      <c r="B69" s="7" t="s">
        <v>276</v>
      </c>
      <c r="C69" s="8" t="s">
        <v>277</v>
      </c>
      <c r="D69" s="7" t="s">
        <v>278</v>
      </c>
      <c r="E69" s="7">
        <v>2</v>
      </c>
      <c r="F69" s="7" t="s">
        <v>18</v>
      </c>
      <c r="G69" s="8" t="s">
        <v>279</v>
      </c>
      <c r="H69" s="7" t="s">
        <v>280</v>
      </c>
      <c r="I69" s="7" t="str">
        <f t="shared" si="9"/>
        <v>新媒体运营-偏拍摄/剪辑文案（学历：大专 专业要求：电子信息科学与技术,数字媒体技术,电子与计算机工程）</v>
      </c>
      <c r="J69" s="7">
        <f t="shared" si="7"/>
        <v>540</v>
      </c>
      <c r="K69" s="7">
        <f>_xlfn.XLOOKUP(A69,长度要求!A:A,长度要求!E:E)</f>
        <v>500</v>
      </c>
      <c r="L69" s="7" t="str">
        <f t="shared" si="8"/>
        <v>岗位职责：1、强摄影及修图能力，负责配合小红书平台运营的摄影摄像；2、负责抖音、视频号等公司各平台的信息流短视频拍摄、剪辑、画面包装、调色、声音处理、字幕、特效合成等；3、负责新媒体平台运营及文案撰写（微博、微信、公众号、抖音等）；4、负责新媒体平台的内容选取、编辑、发布；5、负责平台粉丝招募和维护；6、负责活动内容质量和传播度；7、负责新媒体产品挖掘与运营，及时掌握同行业新媒体动向，与现公司业务相结合，进行网络营销推广，及时反馈对公司的相关信息；8、参与视频创作团队完成视频内容创意策划。对素材进行整理和分类，优化与内容策划的协作流程，提高整体输出视频效率；建立并完善新媒体资源库；9、配合制作公司各类宣传海报、酷家乐软件渲然图片等工作；10、认真完成领导交代的其他工作。任职要求：1、强摄影摄像能力；2、熟悉新媒体平台（抖音、微信、微博、微信朋友圈、公众号等）文案；3、有文字功底，阅读能力，熟悉平面设计、摄影剪辑；4、参与短视频拍摄；5、有良好的沟通能力，和团队合作精神。工作时间：做六休一，早上9:30-下午18:30；工作地点：上海市闵行区颛桥镇光华路158号（宝盖头家居）；福利待遇：……</v>
      </c>
      <c r="M69" s="7" t="s">
        <v>281</v>
      </c>
      <c r="N69" s="7">
        <f t="shared" si="10"/>
        <v>25</v>
      </c>
      <c r="O69" s="7">
        <f t="shared" si="11"/>
        <v>3</v>
      </c>
    </row>
    <row r="70" spans="1:15">
      <c r="A70" s="7">
        <f t="shared" si="6"/>
        <v>2</v>
      </c>
      <c r="B70" s="7" t="s">
        <v>282</v>
      </c>
      <c r="C70" s="8" t="s">
        <v>283</v>
      </c>
      <c r="D70" s="7" t="s">
        <v>284</v>
      </c>
      <c r="E70" s="7">
        <v>2</v>
      </c>
      <c r="F70" s="7" t="s">
        <v>18</v>
      </c>
      <c r="G70" s="8" t="s">
        <v>285</v>
      </c>
      <c r="H70" s="7" t="s">
        <v>113</v>
      </c>
      <c r="I70" s="7" t="str">
        <f t="shared" si="9"/>
        <v>院前急救辅助人员（学历：大专 专业要求：无）</v>
      </c>
      <c r="J70" s="7">
        <f t="shared" si="7"/>
        <v>62</v>
      </c>
      <c r="K70" s="7">
        <f>_xlfn.XLOOKUP(A70,长度要求!A:A,长度要求!E:E)</f>
        <v>500</v>
      </c>
      <c r="L70" s="7" t="str">
        <f t="shared" si="8"/>
        <v>1.协助急救医生做好现场医疗急救工作；2.承担病人的抬抱转运工作；3.协助急救驾驶员做好安全行车、车辆卫生及其他辅助性工作。</v>
      </c>
      <c r="N70" s="7">
        <f t="shared" si="10"/>
        <v>0</v>
      </c>
      <c r="O70" s="7">
        <f t="shared" si="11"/>
        <v>0</v>
      </c>
    </row>
    <row r="71" spans="1:15">
      <c r="A71" s="7">
        <f t="shared" si="6"/>
        <v>2</v>
      </c>
      <c r="B71" s="7" t="s">
        <v>286</v>
      </c>
      <c r="C71" s="8" t="s">
        <v>287</v>
      </c>
      <c r="D71" s="7" t="s">
        <v>288</v>
      </c>
      <c r="E71" s="7">
        <v>5</v>
      </c>
      <c r="F71" s="7" t="s">
        <v>18</v>
      </c>
      <c r="G71" s="8" t="s">
        <v>289</v>
      </c>
      <c r="H71" s="7" t="s">
        <v>290</v>
      </c>
      <c r="I71" s="7" t="str">
        <f t="shared" si="9"/>
        <v>电商客服（学历：大专 专业要求：电子商务类）</v>
      </c>
      <c r="J71" s="7">
        <f t="shared" si="7"/>
        <v>127</v>
      </c>
      <c r="K71" s="7">
        <f>_xlfn.XLOOKUP(A71,长度要求!A:A,长度要求!E:E)</f>
        <v>500</v>
      </c>
      <c r="L71" s="7" t="str">
        <f t="shared" si="8"/>
        <v>岗位职责：1、通过聊天工具完成平台的售前客户咨询接待；2、负责跟进订单、异常件管理；3、服从安排，负责其它售后问题及突发事件。4、打字速度50字/分钟以上；岗位要求：1、经验不限；2、做6休1，国定假期正常放假。公司提供完善的培训、轮岗、转岗及晋升机会！</v>
      </c>
      <c r="M71" s="7" t="s">
        <v>291</v>
      </c>
      <c r="N71" s="7">
        <f t="shared" si="10"/>
        <v>5</v>
      </c>
      <c r="O71" s="7">
        <f t="shared" si="11"/>
        <v>1</v>
      </c>
    </row>
    <row r="72" spans="1:15">
      <c r="A72" s="7">
        <f t="shared" si="6"/>
        <v>2</v>
      </c>
      <c r="B72" s="7" t="s">
        <v>286</v>
      </c>
      <c r="C72" s="8" t="s">
        <v>287</v>
      </c>
      <c r="D72" s="7" t="s">
        <v>292</v>
      </c>
      <c r="E72" s="7">
        <v>4</v>
      </c>
      <c r="F72" s="7" t="s">
        <v>192</v>
      </c>
      <c r="G72" s="8" t="s">
        <v>293</v>
      </c>
      <c r="H72" s="7" t="s">
        <v>97</v>
      </c>
      <c r="I72" s="7" t="str">
        <f t="shared" si="9"/>
        <v>跨境电商运营助理（学历：本科 专业要求：跨境电子商务）</v>
      </c>
      <c r="J72" s="7">
        <f t="shared" si="7"/>
        <v>237</v>
      </c>
      <c r="K72" s="7">
        <f>_xlfn.XLOOKUP(A72,长度要求!A:A,长度要求!E:E)</f>
        <v>500</v>
      </c>
      <c r="L72" s="7" t="str">
        <f t="shared" si="8"/>
        <v>岗位职责:1.参与跨境电商平台（亚马逊、eBay、独立站等）的运营活动，包括但不限于产品发布、活动策划与执行；2.进行市场数据分析，了解行业趋势，调整运营策略以满足市场需求；3.与团队协作，开发新的销售渠道，提升产品曝光率和销量；4.管理和优化产品列表，确保产品信息的准确性和吸引力；5.监控运营指标，及时调整运营计划以达到销售目标。任职要求：1.对跨境电商行业感兴趣，具备基本的市场分析能力；2.具备创新思维，能够不断提出和实施新的运营思路。3、大学本科在读学生，英语好.</v>
      </c>
      <c r="M72" s="7" t="s">
        <v>294</v>
      </c>
      <c r="N72" s="7">
        <f t="shared" si="10"/>
        <v>6</v>
      </c>
      <c r="O72" s="7">
        <f t="shared" si="11"/>
        <v>1</v>
      </c>
    </row>
    <row r="73" spans="1:15">
      <c r="A73" s="7">
        <f t="shared" si="6"/>
        <v>5</v>
      </c>
      <c r="B73" s="7" t="s">
        <v>276</v>
      </c>
      <c r="C73" s="8" t="s">
        <v>277</v>
      </c>
      <c r="D73" s="7" t="s">
        <v>295</v>
      </c>
      <c r="E73" s="7">
        <v>2</v>
      </c>
      <c r="F73" s="7" t="s">
        <v>18</v>
      </c>
      <c r="G73" s="8" t="s">
        <v>296</v>
      </c>
      <c r="H73" s="7" t="s">
        <v>297</v>
      </c>
      <c r="I73" s="7" t="str">
        <f t="shared" si="9"/>
        <v>全屋定制销售顾问（学历：大专 专业要求：土木工程,建筑学,城市设计）</v>
      </c>
      <c r="J73" s="7">
        <f t="shared" si="7"/>
        <v>578</v>
      </c>
      <c r="K73" s="7">
        <f>_xlfn.XLOOKUP(A73,长度要求!A:A,长度要求!E:E)</f>
        <v>500</v>
      </c>
      <c r="L73" s="7" t="str">
        <f t="shared" si="8"/>
        <v>岗位职责：1、对家装有一定了解，为客户提供全屋定制及软装搭配服务；2、熟悉全屋定制全套流程，精准捕捉客户全屋定制需求；3、为客户提供专业的一对一服务，解决客户售前产品咨询，售中对接设计师服务，售后等各类问题反馈，衔接售后部的上门服务需求；4、意向客户的定期追踪维护，定期向部门负责人进行汇报，并转化客户需求及设计服务；5、具备对接客户需求，能独立上门测量，且能现场及时有效沟通反馈；6、能够清晰把握客户方向，并讲解设计方案，能为客户提供全屋定制设计方案对接；7、对接工厂，设计师及安装团队，跟踪订单生产进度，确保按时交付，能处理安装过程中的突发问题；8、交付后定期回访，收集满意度反馈，推动复购或转介绍；9、有操作酷家乐软件能力，优先考虑；10、完成领导交代的其他工作，以及团队间的项目配合。任职要求：1、20岁以上，男女不限，展厅接待，能独立完成产品介绍；2、1年以上全屋定制硬装销售经验者优先；3、日常事务的配合：巡场、盘点、维护展厅及优化展厅；4、能独立开单，实现个人业绩增长；5、工作细心，条理清晰，有一定的的沟通、协调能力，有良好的团结协作的精神。工作时间：做六休一，早上9:30-下午18……</v>
      </c>
      <c r="M73" s="7" t="s">
        <v>298</v>
      </c>
      <c r="N73" s="7">
        <f t="shared" si="10"/>
        <v>13</v>
      </c>
      <c r="O73" s="7">
        <f t="shared" si="11"/>
        <v>3</v>
      </c>
    </row>
    <row r="74" spans="1:15">
      <c r="A74" s="7">
        <f t="shared" si="6"/>
        <v>3</v>
      </c>
      <c r="B74" s="7" t="s">
        <v>299</v>
      </c>
      <c r="C74" s="8" t="s">
        <v>300</v>
      </c>
      <c r="D74" s="7" t="s">
        <v>301</v>
      </c>
      <c r="E74" s="7">
        <v>1</v>
      </c>
      <c r="F74" s="7" t="s">
        <v>18</v>
      </c>
      <c r="G74" s="8" t="s">
        <v>302</v>
      </c>
      <c r="H74" s="7" t="s">
        <v>20</v>
      </c>
      <c r="I74" s="7" t="str">
        <f t="shared" si="9"/>
        <v>CAD制图员（学历：大专 专业要求：无）</v>
      </c>
      <c r="J74" s="7">
        <f t="shared" si="7"/>
        <v>25</v>
      </c>
      <c r="K74" s="7">
        <f>_xlfn.XLOOKUP(A74,长度要求!A:A,长度要求!E:E)</f>
        <v>500</v>
      </c>
      <c r="L74" s="7" t="str">
        <f t="shared" si="8"/>
        <v>熟练使用CAD软件，主要负责弱电、电气、绿化制图。</v>
      </c>
      <c r="N74" s="7">
        <f t="shared" si="10"/>
        <v>0</v>
      </c>
      <c r="O74" s="7">
        <f t="shared" si="11"/>
        <v>0</v>
      </c>
    </row>
    <row r="75" spans="1:15">
      <c r="A75" s="7">
        <f t="shared" si="6"/>
        <v>3</v>
      </c>
      <c r="B75" s="7" t="s">
        <v>299</v>
      </c>
      <c r="C75" s="8" t="s">
        <v>300</v>
      </c>
      <c r="D75" s="7" t="s">
        <v>303</v>
      </c>
      <c r="E75" s="7">
        <v>5</v>
      </c>
      <c r="F75" s="7" t="s">
        <v>18</v>
      </c>
      <c r="G75" s="8" t="s">
        <v>304</v>
      </c>
      <c r="H75" s="7" t="s">
        <v>82</v>
      </c>
      <c r="I75" s="7" t="str">
        <f t="shared" si="9"/>
        <v>销售（学历：大专 专业要求：无）</v>
      </c>
      <c r="J75" s="7">
        <f t="shared" si="7"/>
        <v>35</v>
      </c>
      <c r="K75" s="7">
        <f>_xlfn.XLOOKUP(A75,长度要求!A:A,长度要求!E:E)</f>
        <v>500</v>
      </c>
      <c r="L75" s="7" t="str">
        <f t="shared" si="8"/>
        <v>1.具有想从事销售工作的愿望2.性格外向、胆大、心细、能坚持3恪守规则</v>
      </c>
      <c r="N75" s="7">
        <f t="shared" si="10"/>
        <v>0</v>
      </c>
      <c r="O75" s="7">
        <f t="shared" si="11"/>
        <v>0</v>
      </c>
    </row>
    <row r="76" spans="1:15">
      <c r="A76" s="7">
        <f t="shared" si="6"/>
        <v>3</v>
      </c>
      <c r="B76" s="7" t="s">
        <v>299</v>
      </c>
      <c r="C76" s="8" t="s">
        <v>300</v>
      </c>
      <c r="D76" s="7" t="s">
        <v>305</v>
      </c>
      <c r="E76" s="7">
        <v>2</v>
      </c>
      <c r="F76" s="7" t="s">
        <v>192</v>
      </c>
      <c r="G76" s="8" t="s">
        <v>306</v>
      </c>
      <c r="H76" s="7" t="s">
        <v>77</v>
      </c>
      <c r="I76" s="7" t="str">
        <f t="shared" si="9"/>
        <v>技术员（学历：本科 专业要求：无）</v>
      </c>
      <c r="J76" s="7">
        <f t="shared" si="7"/>
        <v>88</v>
      </c>
      <c r="K76" s="7">
        <f>_xlfn.XLOOKUP(A76,长度要求!A:A,长度要求!E:E)</f>
        <v>500</v>
      </c>
      <c r="L76" s="7" t="str">
        <f t="shared" si="8"/>
        <v>1、本科以上学历；2、楼宇智能化、机电一体化等相关专业；3、有电子智能化或弱电行业的实习经验，熟悉智能化各子系统，能安装调试者优先；4、具有较强的工作责任心，上进心，吃苦耐劳。</v>
      </c>
      <c r="N76" s="7">
        <f t="shared" si="10"/>
        <v>0</v>
      </c>
      <c r="O76" s="7">
        <f t="shared" si="11"/>
        <v>0</v>
      </c>
    </row>
    <row r="77" spans="1:15">
      <c r="A77" s="7">
        <f t="shared" si="6"/>
        <v>1</v>
      </c>
      <c r="B77" s="7" t="s">
        <v>307</v>
      </c>
      <c r="C77" s="8" t="s">
        <v>308</v>
      </c>
      <c r="D77" s="7" t="s">
        <v>309</v>
      </c>
      <c r="E77" s="7">
        <v>3</v>
      </c>
      <c r="F77" s="7" t="s">
        <v>18</v>
      </c>
      <c r="G77" s="8" t="s">
        <v>310</v>
      </c>
      <c r="H77" s="7" t="s">
        <v>41</v>
      </c>
      <c r="I77" s="7" t="str">
        <f t="shared" si="9"/>
        <v>设计助理（学历：大专 专业要求：建筑室内设计）</v>
      </c>
      <c r="J77" s="7">
        <f t="shared" si="7"/>
        <v>164</v>
      </c>
      <c r="K77" s="7">
        <f>_xlfn.XLOOKUP(A77,长度要求!A:A,长度要求!E:E)</f>
        <v>500</v>
      </c>
      <c r="L77" s="7" t="str">
        <f t="shared" si="8"/>
        <v>1、艺术设计类相关专业，具有深厚的美术功底，有较强的艺术修养；2、掌握CAD、Coreldraw、Photoshop、SketchUp等设计软件；3、具备独特的设计理念，思维开阔、善于创意，具备丰富的空间想象力及创新能力，熟知商业美陈设计、商业空间设计、展览、展示设计及工艺结构和运作流程，能独立完成各种设计方案和施工图的制作；</v>
      </c>
      <c r="M77" s="7" t="s">
        <v>311</v>
      </c>
      <c r="N77" s="7">
        <f t="shared" si="10"/>
        <v>6</v>
      </c>
      <c r="O77" s="7">
        <f t="shared" si="11"/>
        <v>1</v>
      </c>
    </row>
    <row r="78" spans="1:15">
      <c r="A78" s="7">
        <f t="shared" si="6"/>
        <v>4</v>
      </c>
      <c r="B78" s="7" t="s">
        <v>312</v>
      </c>
      <c r="C78" s="8" t="s">
        <v>313</v>
      </c>
      <c r="D78" s="7" t="s">
        <v>314</v>
      </c>
      <c r="E78" s="7">
        <v>10</v>
      </c>
      <c r="F78" s="7" t="s">
        <v>18</v>
      </c>
      <c r="G78" s="8" t="s">
        <v>315</v>
      </c>
      <c r="H78" s="7" t="s">
        <v>316</v>
      </c>
      <c r="I78" s="7" t="str">
        <f t="shared" si="9"/>
        <v>大客户经理（学历：大专 专业要求：工商管理,市场营销,国际经济与贸易,国际贸易学）</v>
      </c>
      <c r="J78" s="7">
        <f t="shared" si="7"/>
        <v>365</v>
      </c>
      <c r="K78" s="7">
        <f>_xlfn.XLOOKUP(A78,长度要求!A:A,长度要求!E:E)</f>
        <v>500</v>
      </c>
      <c r="L78" s="7" t="str">
        <f t="shared" si="8"/>
        <v>岗位职责1.协助资深销售对接头部企业客户，参与客户需求调研、方案沟通与商务谈判，快速熟悉大客户销售全流程。2.负责客户信息整理与维护，建立客户档案，跟踪客户合作进度，辅助完成订单跟进与回款协助工作。3.参与市场竞品分析与行业动态收集，输出简易分析报告，为大客户销售策略制定提供数据支持。4.完成管培生专项培养计划，包括产品知识培训、销售技巧实战演练、跨部门轮岗（任职要求1.2026届全日制本科及以上学历，专业不限，市场营销、工商管理、国际贸易等相关专业优先。2.具备强烈的目标感与抗压能力，愿意挑战高薪，对ToB大客户销售工作有明确兴趣与热情。3.拥有优秀的沟通表达与逻辑思维能力，能清晰传递信息，快速理解客户需求，有校园社团管理、大型活动组织或销售相关实习经历者优先。4.学习能力强，具备团队协作意识，能快速适应快节奏工作环境</v>
      </c>
      <c r="M78" s="7" t="s">
        <v>317</v>
      </c>
      <c r="N78" s="7">
        <f t="shared" si="10"/>
        <v>23</v>
      </c>
      <c r="O78" s="7">
        <f t="shared" si="11"/>
        <v>4</v>
      </c>
    </row>
    <row r="79" spans="1:15">
      <c r="A79" s="7">
        <f t="shared" si="6"/>
        <v>6</v>
      </c>
      <c r="B79" s="7" t="s">
        <v>318</v>
      </c>
      <c r="C79" s="8" t="s">
        <v>319</v>
      </c>
      <c r="D79" s="7" t="s">
        <v>320</v>
      </c>
      <c r="E79" s="7">
        <v>15</v>
      </c>
      <c r="F79" s="7" t="s">
        <v>18</v>
      </c>
      <c r="G79" s="8" t="s">
        <v>321</v>
      </c>
      <c r="H79" s="7" t="s">
        <v>322</v>
      </c>
      <c r="I79" s="7" t="str">
        <f t="shared" si="9"/>
        <v>电梯维修保养岗位（学历：大专 专业要求：无）</v>
      </c>
      <c r="J79" s="7">
        <f t="shared" si="7"/>
        <v>327</v>
      </c>
      <c r="K79" s="7">
        <f>_xlfn.XLOOKUP(A79,长度要求!A:A,长度要求!E:E)</f>
        <v>500</v>
      </c>
      <c r="L79" s="7" t="str">
        <f t="shared" si="8"/>
        <v>工作职责：代表公司与客户处理管辖区域内的电梯保养、维修施工中出现的各种问题；及时响应客户的需求，为客户提供可靠的技术诊断与维修支持。员工发展与工作环境：实习期工资2700元，每月享受交通及话费补贴200元，并根据考核发放年终奖，转正后工资平均月薪4000-8000元/月（税前），并根据绩效情况发放月度奖金，年底根据工作表现发放全勤奖及年终奖；每年参加岗位培训及评定，增长技能工资；一经录用缴纳相关社会保险；根据技能评定及工作表现岗位上升依次为为“检查调整岗”、“项目组长”、“站长助理”、“站长”等，并承担相关职责，享受相应升级待遇。工作区域：上海市各大电梯维保站点。岗位变动：工作表现优异者，可被推荐、被选拔至高阶岗位；也可转电梯安装岗（个别申请）。</v>
      </c>
      <c r="N79" s="7">
        <f t="shared" si="10"/>
        <v>0</v>
      </c>
      <c r="O79" s="7">
        <f t="shared" si="11"/>
        <v>0</v>
      </c>
    </row>
    <row r="80" spans="1:15">
      <c r="A80" s="7">
        <f t="shared" si="6"/>
        <v>5</v>
      </c>
      <c r="B80" s="7" t="s">
        <v>323</v>
      </c>
      <c r="C80" s="8" t="s">
        <v>324</v>
      </c>
      <c r="D80" s="7" t="s">
        <v>325</v>
      </c>
      <c r="E80" s="7">
        <v>1</v>
      </c>
      <c r="F80" s="7" t="s">
        <v>18</v>
      </c>
      <c r="G80" s="8" t="s">
        <v>326</v>
      </c>
      <c r="H80" s="7" t="s">
        <v>67</v>
      </c>
      <c r="I80" s="7" t="str">
        <f t="shared" si="9"/>
        <v>市场助理（学历：大专 专业要求：无）</v>
      </c>
      <c r="J80" s="7">
        <f t="shared" si="7"/>
        <v>65</v>
      </c>
      <c r="K80" s="7">
        <f>_xlfn.XLOOKUP(A80,长度要求!A:A,长度要求!E:E)</f>
        <v>500</v>
      </c>
      <c r="L80" s="7" t="str">
        <f t="shared" si="8"/>
        <v>1.负责前台客流登记2.负责配合完成各项市场营销策划活动3.负责开发针对经销商与客户的季节性或主题性推广活动4.领导交代的其他工作</v>
      </c>
      <c r="N80" s="7">
        <f t="shared" si="10"/>
        <v>0</v>
      </c>
      <c r="O80" s="7">
        <f t="shared" si="11"/>
        <v>0</v>
      </c>
    </row>
    <row r="81" spans="1:15">
      <c r="A81" s="7">
        <f t="shared" si="6"/>
        <v>4</v>
      </c>
      <c r="B81" s="7" t="s">
        <v>327</v>
      </c>
      <c r="C81" s="8" t="s">
        <v>328</v>
      </c>
      <c r="D81" s="7" t="s">
        <v>329</v>
      </c>
      <c r="E81" s="7">
        <v>2</v>
      </c>
      <c r="F81" s="7" t="s">
        <v>18</v>
      </c>
      <c r="G81" s="8" t="s">
        <v>330</v>
      </c>
      <c r="H81" s="7" t="s">
        <v>97</v>
      </c>
      <c r="I81" s="7" t="str">
        <f t="shared" si="9"/>
        <v>交付类管培生（学历：大专 专业要求：电线电缆制造技术,机械设计制造及其自动化,数学,统计学）</v>
      </c>
      <c r="J81" s="7">
        <f t="shared" si="7"/>
        <v>170</v>
      </c>
      <c r="K81" s="7">
        <f>_xlfn.XLOOKUP(A81,长度要求!A:A,长度要求!E:E)</f>
        <v>500</v>
      </c>
      <c r="L81" s="7" t="str">
        <f t="shared" si="8"/>
        <v>该岗位未来方向为生产岗、研发岗、交付岗等，电线电缆、电子电气、机械工程及自动化、数学、统计学等专业优先，要求每周至少3天全天出勤任职资格：1、统招大学专科以上学历，电线电缆、电子电气、机械工程及自动化、数学、统计学等专业优先；2、有上进心，学习意愿较强，愿意从基础开始学起，能吃苦耐劳；3、学习成绩优异，专业排名靠前；4、熟悉常用办公软件。</v>
      </c>
      <c r="M81" s="7" t="s">
        <v>331</v>
      </c>
      <c r="N81" s="7">
        <f t="shared" si="10"/>
        <v>27</v>
      </c>
      <c r="O81" s="7">
        <f t="shared" si="11"/>
        <v>4</v>
      </c>
    </row>
    <row r="82" spans="1:15">
      <c r="A82" s="7">
        <f t="shared" si="6"/>
        <v>5</v>
      </c>
      <c r="B82" s="7" t="s">
        <v>276</v>
      </c>
      <c r="C82" s="8" t="s">
        <v>277</v>
      </c>
      <c r="D82" s="7" t="s">
        <v>332</v>
      </c>
      <c r="E82" s="7">
        <v>2</v>
      </c>
      <c r="F82" s="7" t="s">
        <v>18</v>
      </c>
      <c r="G82" s="8" t="s">
        <v>333</v>
      </c>
      <c r="H82" s="7" t="s">
        <v>334</v>
      </c>
      <c r="I82" s="7" t="str">
        <f t="shared" si="9"/>
        <v>软装设计师（学历：大专 专业要求：建筑设计及其理论,建筑设计,家具设计与制造）</v>
      </c>
      <c r="J82" s="7">
        <f t="shared" si="7"/>
        <v>578</v>
      </c>
      <c r="K82" s="7">
        <f>_xlfn.XLOOKUP(A82,长度要求!A:A,长度要求!E:E)</f>
        <v>500</v>
      </c>
      <c r="L82" s="7" t="str">
        <f t="shared" si="8"/>
        <v>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搭配方案，跟进及协调客户订单完成；4、按照公司销售服务标准为客户提供优质服务，提升品牌形象；5、了解客户对公司产品及各环节服务评价或期望并反馈给公司及上级，为提升客户消费体验提供改进方向；6、更新公司软装方案模板，为客户提供更多优质的设计选择；7、具备良好的团队合作精神，有责任心，进取心；8、遵纪守法，有职业道德，并遵守公司各规章制度；9、完成上级下达的各项工作指令。任职要求：1、20岁以上，男女不限；艺术设计类大专以上学历；2、1年以上软装设计工作经验，具备硬装设计经验优先考虑；3、具备较好的空间感、色彩搭配能力、较高的悟性，能熟练使用autocad、Photoshop、PPT、酷家乐等设计软件优先考虑；4、熟悉各种装饰风格，具有良好的艺术修养，对软装设计行业有较强敏感度及充满极大的热情；5、工作细心，有条理，效率高，沟通、协调能力强。工作时间：做六休一，早上9:30-下午18……</v>
      </c>
      <c r="M82" s="7" t="s">
        <v>335</v>
      </c>
      <c r="N82" s="7">
        <f t="shared" si="10"/>
        <v>21</v>
      </c>
      <c r="O82" s="7">
        <f t="shared" si="11"/>
        <v>3</v>
      </c>
    </row>
    <row r="83" spans="1:15">
      <c r="A83" s="7">
        <f t="shared" si="6"/>
        <v>1</v>
      </c>
      <c r="B83" s="7" t="s">
        <v>336</v>
      </c>
      <c r="C83" s="8" t="s">
        <v>337</v>
      </c>
      <c r="D83" s="7" t="s">
        <v>338</v>
      </c>
      <c r="E83" s="7">
        <v>10</v>
      </c>
      <c r="F83" s="7" t="s">
        <v>18</v>
      </c>
      <c r="G83" s="8" t="s">
        <v>339</v>
      </c>
      <c r="H83" s="7" t="s">
        <v>340</v>
      </c>
      <c r="I83" s="7" t="str">
        <f t="shared" si="9"/>
        <v>爱家工程师（学历：大专 专业要求：无）</v>
      </c>
      <c r="J83" s="7">
        <f t="shared" si="7"/>
        <v>36</v>
      </c>
      <c r="K83" s="7">
        <f>_xlfn.XLOOKUP(A83,长度要求!A:A,长度要求!E:E)</f>
        <v>500</v>
      </c>
      <c r="L83" s="7" t="str">
        <f t="shared" si="8"/>
        <v>宽带、互联网电视、智能家居产品的安装调试，用户故障处理，移动业务随销等。</v>
      </c>
      <c r="N83" s="7">
        <f t="shared" si="10"/>
        <v>0</v>
      </c>
      <c r="O83" s="7">
        <f t="shared" si="11"/>
        <v>0</v>
      </c>
    </row>
    <row r="84" spans="1:15">
      <c r="A84" s="7">
        <f t="shared" si="6"/>
        <v>4</v>
      </c>
      <c r="B84" s="7" t="s">
        <v>327</v>
      </c>
      <c r="C84" s="8" t="s">
        <v>328</v>
      </c>
      <c r="D84" s="7" t="s">
        <v>341</v>
      </c>
      <c r="E84" s="7">
        <v>2</v>
      </c>
      <c r="F84" s="7" t="s">
        <v>192</v>
      </c>
      <c r="G84" s="8" t="s">
        <v>342</v>
      </c>
      <c r="H84" s="7" t="s">
        <v>97</v>
      </c>
      <c r="I84" s="7" t="str">
        <f t="shared" si="9"/>
        <v>技术管培生（学历：本科 专业要求：电线电缆制造技术,电气工程及其自动化,机械工程）</v>
      </c>
      <c r="J84" s="7">
        <f t="shared" si="7"/>
        <v>146</v>
      </c>
      <c r="K84" s="7">
        <f>_xlfn.XLOOKUP(A84,长度要求!A:A,长度要求!E:E)</f>
        <v>500</v>
      </c>
      <c r="L84" s="7" t="str">
        <f t="shared" si="8"/>
        <v>该岗位未来方向可分为研发岗、工艺岗等，电线电缆，高分子材料，计算机等专业优先，要求每周至少3天全天出勤。任职资格：1、统招大学专科以上学历，电线电缆或高分子材料相关专业毕业优先；2、有上进心，学习意愿较强，愿意从基础开始学起，能吃苦耐劳；3、学习成绩优异，专业排名靠前；4、熟悉常用办公软件。</v>
      </c>
      <c r="M84" s="7" t="s">
        <v>343</v>
      </c>
      <c r="N84" s="7">
        <f t="shared" si="10"/>
        <v>23</v>
      </c>
      <c r="O84" s="7">
        <f t="shared" si="11"/>
        <v>3</v>
      </c>
    </row>
    <row r="85" spans="1:15">
      <c r="A85" s="7">
        <f t="shared" si="6"/>
        <v>4</v>
      </c>
      <c r="B85" s="7" t="s">
        <v>327</v>
      </c>
      <c r="C85" s="8" t="s">
        <v>328</v>
      </c>
      <c r="D85" s="7" t="s">
        <v>344</v>
      </c>
      <c r="E85" s="7">
        <v>2</v>
      </c>
      <c r="F85" s="7" t="s">
        <v>192</v>
      </c>
      <c r="G85" s="8" t="s">
        <v>345</v>
      </c>
      <c r="H85" s="7" t="s">
        <v>97</v>
      </c>
      <c r="I85" s="7" t="str">
        <f t="shared" si="9"/>
        <v>营销管培生（学历：本科 专业要求：日语,商务日语,应用日语,英语,商务英语,应用英语）</v>
      </c>
      <c r="J85" s="7">
        <f t="shared" si="7"/>
        <v>218</v>
      </c>
      <c r="K85" s="7">
        <f>_xlfn.XLOOKUP(A85,长度要求!A:A,长度要求!E:E)</f>
        <v>500</v>
      </c>
      <c r="L85" s="7" t="str">
        <f t="shared" si="8"/>
        <v>该岗位未来方向为外销岗位(日语，英语），要求市场营销，英语或者日语等相关专业，每周要求至少3天全天出勤任职资格：1、统招专科以上学历，市场营销、英语或者日语等专业毕业；2、性格外向，具有较强的沟通能力和语言表达能力，应变能力和谈判能力；3、（英语）或（日语）流利加分；会开车（开车熟练）；4、有汽车零配件行业销售经验加分；5、有上进心，学习意愿较强，愿意从基础开始学起，能吃苦耐劳；6、学习成绩优异，专业排名靠前；7、熟悉常用办公软件。</v>
      </c>
      <c r="M85" s="7" t="s">
        <v>346</v>
      </c>
      <c r="N85" s="7">
        <f t="shared" si="10"/>
        <v>25</v>
      </c>
      <c r="O85" s="7">
        <f t="shared" si="11"/>
        <v>6</v>
      </c>
    </row>
    <row r="86" spans="1:15">
      <c r="A86" s="7">
        <f t="shared" si="6"/>
        <v>2</v>
      </c>
      <c r="B86" s="7" t="s">
        <v>347</v>
      </c>
      <c r="C86" s="8" t="s">
        <v>348</v>
      </c>
      <c r="D86" s="7" t="s">
        <v>349</v>
      </c>
      <c r="E86" s="7">
        <v>1</v>
      </c>
      <c r="F86" s="7" t="s">
        <v>34</v>
      </c>
      <c r="G86" s="8" t="s">
        <v>350</v>
      </c>
      <c r="H86" s="7" t="s">
        <v>178</v>
      </c>
      <c r="I86" s="7" t="str">
        <f t="shared" si="9"/>
        <v>工程助理（物业维修电工）（学历：中专/技校 专业要求：无）</v>
      </c>
      <c r="J86" s="7">
        <f t="shared" si="7"/>
        <v>135</v>
      </c>
      <c r="K86" s="7">
        <f>_xlfn.XLOOKUP(A86,长度要求!A:A,长度要求!E:E)</f>
        <v>500</v>
      </c>
      <c r="L86" s="7" t="str">
        <f t="shared" si="8"/>
        <v>机关项目，做五休二（晚间有轮流安排夜值班）岗位要求：1、年龄50岁以下，经验丰富者可适当放宽。2、至少须持有低压电工证、职业资格证书（维修电工初级/五级），能独立动手操作。3、须有高度的工作责任心、良好的沟通能力、有较强的团队意识。4、有酒店、办公楼等物业工作经验优先。</v>
      </c>
      <c r="N86" s="7">
        <f t="shared" si="10"/>
        <v>0</v>
      </c>
      <c r="O86" s="7">
        <f t="shared" si="11"/>
        <v>0</v>
      </c>
    </row>
    <row r="87" spans="1:15">
      <c r="A87" s="7">
        <f t="shared" si="6"/>
        <v>1</v>
      </c>
      <c r="B87" s="7" t="s">
        <v>351</v>
      </c>
      <c r="C87" s="8" t="s">
        <v>352</v>
      </c>
      <c r="D87" s="7" t="s">
        <v>353</v>
      </c>
      <c r="E87" s="7">
        <v>4</v>
      </c>
      <c r="F87" s="7" t="s">
        <v>18</v>
      </c>
      <c r="G87" s="8" t="s">
        <v>354</v>
      </c>
      <c r="H87" s="7" t="s">
        <v>70</v>
      </c>
      <c r="I87" s="7" t="str">
        <f t="shared" si="9"/>
        <v>生产培训生（毛衫方向）（学历：大专 专业要求：服装设计与工程,针织技术与针织服装,服装与服饰设计,服装设计与工艺,服装设计与工艺教育）</v>
      </c>
      <c r="J87" s="7">
        <f t="shared" si="7"/>
        <v>224</v>
      </c>
      <c r="K87" s="7">
        <f>_xlfn.XLOOKUP(A87,长度要求!A:A,长度要求!E:E)</f>
        <v>500</v>
      </c>
      <c r="L87" s="7" t="str">
        <f t="shared" si="8"/>
        <v>招聘岗位：生产培训生（毛衫方向）培养方向：生产管理招聘人数：4人工作地点：上海市闵行区绿春路189号薪资：6000-8000元/月任职要求：1.专科及以上学历，服装相关专业（针织专业优先考虑）；2.应届毕业生或毕业三年以内；3.善于沟通表达；4.逻辑思维能力强，有进取心，职业发展规划清晰；5.热爱服装行业，愿意扎根工厂，热爱制造福利：包吃包住、带薪年假、节日福利、定期体检、六险一金（包含补充商业医疗保险）、交通补贴、团建活动。联系人：人事行政部</v>
      </c>
      <c r="M87" s="7" t="s">
        <v>355</v>
      </c>
      <c r="N87" s="7">
        <f t="shared" si="10"/>
        <v>43</v>
      </c>
      <c r="O87" s="7">
        <f t="shared" si="11"/>
        <v>5</v>
      </c>
    </row>
    <row r="88" spans="1:15">
      <c r="A88" s="7">
        <f t="shared" si="6"/>
        <v>1</v>
      </c>
      <c r="B88" s="7" t="s">
        <v>356</v>
      </c>
      <c r="C88" s="8" t="s">
        <v>357</v>
      </c>
      <c r="D88" s="7" t="s">
        <v>358</v>
      </c>
      <c r="E88" s="7">
        <v>1</v>
      </c>
      <c r="F88" s="7" t="s">
        <v>192</v>
      </c>
      <c r="G88" s="8" t="s">
        <v>359</v>
      </c>
      <c r="H88" s="7" t="s">
        <v>104</v>
      </c>
      <c r="I88" s="7" t="str">
        <f t="shared" si="9"/>
        <v>教师（学历：本科 专业要求：学前教育）</v>
      </c>
      <c r="J88" s="7">
        <f t="shared" si="7"/>
        <v>48</v>
      </c>
      <c r="K88" s="7">
        <f>_xlfn.XLOOKUP(A88,长度要求!A:A,长度要求!E:E)</f>
        <v>500</v>
      </c>
      <c r="L88" s="7" t="str">
        <f t="shared" si="8"/>
        <v>学前教育专业，本科，有幼儿园教师资格证，身体健康，对待工作有责任心有爱心，有良好的团队合作精神。</v>
      </c>
      <c r="M88" s="7" t="s">
        <v>360</v>
      </c>
      <c r="N88" s="7">
        <f t="shared" si="10"/>
        <v>4</v>
      </c>
      <c r="O88" s="7">
        <f t="shared" si="11"/>
        <v>1</v>
      </c>
    </row>
    <row r="89" spans="1:15">
      <c r="A89" s="7">
        <f t="shared" si="6"/>
        <v>1</v>
      </c>
      <c r="B89" s="7" t="s">
        <v>361</v>
      </c>
      <c r="C89" s="8" t="s">
        <v>362</v>
      </c>
      <c r="D89" s="7" t="s">
        <v>363</v>
      </c>
      <c r="E89" s="7">
        <v>1</v>
      </c>
      <c r="F89" s="7" t="s">
        <v>18</v>
      </c>
      <c r="G89" s="8" t="s">
        <v>364</v>
      </c>
      <c r="H89" s="7" t="s">
        <v>184</v>
      </c>
      <c r="I89" s="7" t="str">
        <f t="shared" si="9"/>
        <v>智能弱电工（实习-转正）（学历：大专 专业要求：建筑智能化工程技术）</v>
      </c>
      <c r="J89" s="7">
        <f t="shared" si="7"/>
        <v>406</v>
      </c>
      <c r="K89" s="7">
        <f>_xlfn.XLOOKUP(A89,长度要求!A:A,长度要求!E:E)</f>
        <v>500</v>
      </c>
      <c r="L89" s="7" t="str">
        <f t="shared" si="8"/>
        <v>1、负责弱电系统的日常运维、故障检修与基础调试，保障弱电系统稳定运行，支撑楼宇智能化服务落地。2、负责弱电系统的日常巡检，涵盖综合布线系统（网络、电话、光纤链路）、安防监控系统（摄像头、存储设备、监控平台）、出入口控制系统（门禁一体机、人脸识别设备、道闸联动）、楼宇对讲系统（室内分机、单元门口机、中心管理机）及停车场智能管理系统（车位引导屏、缴费终端、车牌识别设备）。3、协助完成弱电系统升级改造的现场配合工作（如综合布线扩容、旧监控设备替换）。4、配合弱电工程师完成弱电系统的基础调试，如新增门禁卡授权、监控摄像头角度调整、楼宇对讲系统室内分机注册，确保设备接入现有系统正常运行。5、建立个人负责区域的弱电设备台账，记录设备型号、安装位置、维保时间、故障历史，每月底汇总至部门负责人，确保台账信息准确更新。​6、响应业主关于弱电系统的基础咨询（如门禁卡补办流程、家中网络接口无法使用排查），跟踪问题解决进度。</v>
      </c>
      <c r="M89" s="7" t="s">
        <v>159</v>
      </c>
      <c r="N89" s="7">
        <f t="shared" si="10"/>
        <v>9</v>
      </c>
      <c r="O89" s="7">
        <f t="shared" si="11"/>
        <v>1</v>
      </c>
    </row>
    <row r="90" spans="1:15">
      <c r="A90" s="7">
        <f t="shared" si="6"/>
        <v>5</v>
      </c>
      <c r="B90" s="7" t="s">
        <v>323</v>
      </c>
      <c r="C90" s="8" t="s">
        <v>324</v>
      </c>
      <c r="D90" s="7" t="s">
        <v>185</v>
      </c>
      <c r="E90" s="7">
        <v>1</v>
      </c>
      <c r="F90" s="7" t="s">
        <v>18</v>
      </c>
      <c r="G90" s="8" t="s">
        <v>365</v>
      </c>
      <c r="H90" s="7" t="s">
        <v>252</v>
      </c>
      <c r="I90" s="7" t="str">
        <f t="shared" si="9"/>
        <v>销售助理（学历：大专 专业要求：无）</v>
      </c>
      <c r="J90" s="7">
        <f t="shared" si="7"/>
        <v>139</v>
      </c>
      <c r="K90" s="7">
        <f>_xlfn.XLOOKUP(A90,长度要求!A:A,长度要求!E:E)</f>
        <v>500</v>
      </c>
      <c r="L90" s="7" t="str">
        <f t="shared" si="8"/>
        <v>工作内容及职责：1、根据厂方及公司的销售任务，负责汇总及统计相关销售数据2、对客户的订单进行汇总、整理、录入工作，并及时检查订单是否完整和准确3、定期将客户的市场反馈信息上报有关部门4、协助部门领导完成各类报表2026年应届毕业生，大专以上学历，文秘、电子商务或市场营销相关专业</v>
      </c>
      <c r="N90" s="7">
        <f t="shared" si="10"/>
        <v>0</v>
      </c>
      <c r="O90" s="7">
        <f t="shared" si="11"/>
        <v>0</v>
      </c>
    </row>
    <row r="91" spans="1:15">
      <c r="A91" s="7">
        <f t="shared" si="6"/>
        <v>1</v>
      </c>
      <c r="B91" s="7" t="s">
        <v>366</v>
      </c>
      <c r="C91" s="8" t="s">
        <v>367</v>
      </c>
      <c r="D91" s="7" t="s">
        <v>368</v>
      </c>
      <c r="E91" s="7">
        <v>20</v>
      </c>
      <c r="F91" s="7" t="s">
        <v>18</v>
      </c>
      <c r="G91" s="8" t="s">
        <v>369</v>
      </c>
      <c r="H91" s="7" t="s">
        <v>370</v>
      </c>
      <c r="I91" s="7" t="str">
        <f t="shared" si="9"/>
        <v>电商运维专员（学历：大专 专业要求：无）</v>
      </c>
      <c r="J91" s="7">
        <f t="shared" si="7"/>
        <v>232</v>
      </c>
      <c r="K91" s="7">
        <f>_xlfn.XLOOKUP(A91,长度要求!A:A,长度要求!E:E)</f>
        <v>500</v>
      </c>
      <c r="L91" s="7" t="str">
        <f t="shared" si="8"/>
        <v>岗位名称：电商运维专员薪资待遇：实习期4000元/月（工作期间每日12元餐补）,转正后：6000-12000，年终13薪，带薪年假工作时间：每天8小时，每周固定工作5天休息2天早班：9:00-18:00中间休息一小时晚班：13:00-22:00中间休息一小时（电商活动期间会有加班，平时基本没加班）工作内容：负责公牛电器天猫商城、京东商城在线运营，及售前、售中、售后服务（非电话形式），纯写字楼办公要求：大专及以上学历，打字速度快，专业不限，公司提供带薪培训一个月</v>
      </c>
      <c r="N91" s="7">
        <f t="shared" si="10"/>
        <v>0</v>
      </c>
      <c r="O91" s="7">
        <f t="shared" si="11"/>
        <v>0</v>
      </c>
    </row>
    <row r="92" spans="1:15">
      <c r="A92" s="7">
        <f t="shared" si="6"/>
        <v>1</v>
      </c>
      <c r="B92" s="7" t="s">
        <v>371</v>
      </c>
      <c r="C92" s="8" t="s">
        <v>372</v>
      </c>
      <c r="D92" s="7" t="s">
        <v>373</v>
      </c>
      <c r="E92" s="7">
        <v>4</v>
      </c>
      <c r="F92" s="7" t="s">
        <v>34</v>
      </c>
      <c r="G92" s="8" t="s">
        <v>374</v>
      </c>
      <c r="H92" s="7" t="s">
        <v>375</v>
      </c>
      <c r="I92" s="7" t="str">
        <f t="shared" si="9"/>
        <v>助理（学历：中专/技校 专业要求：广播电视编导）</v>
      </c>
      <c r="J92" s="7">
        <f t="shared" si="7"/>
        <v>240</v>
      </c>
      <c r="K92" s="7">
        <f>_xlfn.XLOOKUP(A92,长度要求!A:A,长度要求!E:E)</f>
        <v>500</v>
      </c>
      <c r="L92" s="7" t="str">
        <f t="shared" si="8"/>
        <v>培养目标：（直播转播活动摄像方向，平面和TVC发展方向的勿扰，）摄像师，导播，网络直播技术，摇臂手，项目经理，部门经理。*广阔的晋升空间；*可接触到业内先进设备；*过了试用期，签约后可以提供住宿；*会开车可优先考虑；岗位描述：1、配合摄像师进行日常拍摄，准备设备，搬运装配设备；2、协助直播导播完成工作，听从导播安排；3、对直播拍摄设备进行日常维护和保养；4、对拍摄素材进行归档整理和简单剪辑；5、负责项目现场内部花絮视频和照片的搜集工作；6、相关影视器材检查、整理，保养和维护。</v>
      </c>
      <c r="M92" s="7" t="s">
        <v>376</v>
      </c>
      <c r="N92" s="7">
        <f t="shared" si="10"/>
        <v>6</v>
      </c>
      <c r="O92" s="7">
        <f t="shared" si="11"/>
        <v>1</v>
      </c>
    </row>
    <row r="93" spans="1:15">
      <c r="A93" s="7">
        <f t="shared" si="6"/>
        <v>1</v>
      </c>
      <c r="B93" s="7" t="s">
        <v>377</v>
      </c>
      <c r="C93" s="8" t="s">
        <v>378</v>
      </c>
      <c r="D93" s="7" t="s">
        <v>39</v>
      </c>
      <c r="E93" s="7">
        <v>8</v>
      </c>
      <c r="F93" s="7" t="s">
        <v>18</v>
      </c>
      <c r="G93" s="8" t="s">
        <v>379</v>
      </c>
      <c r="H93" s="7" t="s">
        <v>62</v>
      </c>
      <c r="I93" s="7" t="str">
        <f t="shared" si="9"/>
        <v>保育员（学历：大专 专业要求：学前教育,幼儿发展与健康管理）</v>
      </c>
      <c r="J93" s="7">
        <f t="shared" si="7"/>
        <v>121</v>
      </c>
      <c r="K93" s="7">
        <f>_xlfn.XLOOKUP(A93,长度要求!A:A,长度要求!E:E)</f>
        <v>500</v>
      </c>
      <c r="L93" s="7" t="str">
        <f t="shared" si="8"/>
        <v>1、应具备良好的师德、健康的身心，得体的仪表；2、充满爱心和童心，爱岗敬业，能吃苦耐劳；3、护理幼儿生活，做好班级日常生活工作、校园环境、班级卫生及各类设施清洁工作；4、协助配合带班教师做好幼儿教育教学等工作；5、服从单位安排的其他相关工作。</v>
      </c>
      <c r="M93" s="7" t="s">
        <v>380</v>
      </c>
      <c r="N93" s="7">
        <f t="shared" si="10"/>
        <v>14</v>
      </c>
      <c r="O93" s="7">
        <f t="shared" si="11"/>
        <v>2</v>
      </c>
    </row>
    <row r="94" spans="1:15">
      <c r="A94" s="7">
        <f t="shared" si="6"/>
        <v>4</v>
      </c>
      <c r="B94" s="7" t="s">
        <v>381</v>
      </c>
      <c r="C94" s="8" t="s">
        <v>382</v>
      </c>
      <c r="D94" s="7" t="s">
        <v>383</v>
      </c>
      <c r="E94" s="7">
        <v>1</v>
      </c>
      <c r="F94" s="7" t="s">
        <v>18</v>
      </c>
      <c r="G94" s="8" t="s">
        <v>384</v>
      </c>
      <c r="H94" s="7" t="s">
        <v>385</v>
      </c>
      <c r="I94" s="7" t="str">
        <f t="shared" si="9"/>
        <v>财务实习生（学历：大专 专业要求：无）</v>
      </c>
      <c r="J94" s="7">
        <f t="shared" si="7"/>
        <v>189</v>
      </c>
      <c r="K94" s="7">
        <f>_xlfn.XLOOKUP(A94,长度要求!A:A,长度要求!E:E)</f>
        <v>500</v>
      </c>
      <c r="L94" s="7" t="str">
        <f t="shared" si="8"/>
        <v>[岗位职责]1、协助门店财务部门完成日常财务工作，如整理票据、会计凭证和财务资料等；2、协助部门同事完成维修工单的开票结算和新车整车的开票与开具出门单；3、根据业务发展需要，完成指定的其他工作。[任职资格]1、大专及以上学历，财会相关专业者优先；2、工作积极主动，细心，有责任心，执行能力强；3、善于思考，有较强的解决问题能力和抗压能力；4、有较强的沟通能力、学习能力和专注力。</v>
      </c>
      <c r="N94" s="7">
        <f t="shared" si="10"/>
        <v>0</v>
      </c>
      <c r="O94" s="7">
        <f t="shared" si="11"/>
        <v>0</v>
      </c>
    </row>
    <row r="95" spans="1:15">
      <c r="A95" s="7">
        <f t="shared" si="6"/>
        <v>4</v>
      </c>
      <c r="B95" s="7" t="s">
        <v>381</v>
      </c>
      <c r="C95" s="8" t="s">
        <v>382</v>
      </c>
      <c r="D95" s="7" t="s">
        <v>386</v>
      </c>
      <c r="E95" s="7">
        <v>3</v>
      </c>
      <c r="F95" s="7" t="s">
        <v>18</v>
      </c>
      <c r="G95" s="8" t="s">
        <v>387</v>
      </c>
      <c r="H95" s="7" t="s">
        <v>385</v>
      </c>
      <c r="I95" s="7" t="str">
        <f t="shared" si="9"/>
        <v>服务顾问实习生（学历：大专 专业要求：无）</v>
      </c>
      <c r="J95" s="7">
        <f t="shared" si="7"/>
        <v>231</v>
      </c>
      <c r="K95" s="7">
        <f>_xlfn.XLOOKUP(A95,长度要求!A:A,长度要求!E:E)</f>
        <v>500</v>
      </c>
      <c r="L95" s="7" t="str">
        <f t="shared" si="8"/>
        <v>[岗位职责]1.热情引导接待用户，沟通确认用户需求，根据需求给出专业的服务方案；2.熟悉车辆功能及使用，深刻理解公司服务理念，为用户提供专业的解答；3.跟踪车辆整体维修情况，确保维修时效质量、完工交付标准及维修服务体验；4.维护用户关系，保证每位用户都能得到专业且有温度的售后服务。[任职资格]1.大专或以上学历，汽车相关专业优先；2.做事认真仔细，责任心强，对待工作积极主动；3.具有良好的服务意识、营销意识和沟通协调能力；4.持有驾驶证并熟练驾驶汽车者优先。</v>
      </c>
      <c r="N95" s="7">
        <f t="shared" si="10"/>
        <v>0</v>
      </c>
      <c r="O95" s="7">
        <f t="shared" si="11"/>
        <v>0</v>
      </c>
    </row>
    <row r="96" spans="1:15">
      <c r="A96" s="7">
        <f t="shared" si="6"/>
        <v>4</v>
      </c>
      <c r="B96" s="7" t="s">
        <v>381</v>
      </c>
      <c r="C96" s="8" t="s">
        <v>382</v>
      </c>
      <c r="D96" s="7" t="s">
        <v>388</v>
      </c>
      <c r="E96" s="7">
        <v>3</v>
      </c>
      <c r="F96" s="7" t="s">
        <v>18</v>
      </c>
      <c r="G96" s="8" t="s">
        <v>389</v>
      </c>
      <c r="H96" s="7" t="s">
        <v>385</v>
      </c>
      <c r="I96" s="7" t="str">
        <f t="shared" si="9"/>
        <v>售后技术实习生（学历：大专 专业要求：无）</v>
      </c>
      <c r="J96" s="7">
        <f t="shared" si="7"/>
        <v>275</v>
      </c>
      <c r="K96" s="7">
        <f>_xlfn.XLOOKUP(A96,长度要求!A:A,长度要求!E:E)</f>
        <v>500</v>
      </c>
      <c r="L96" s="7" t="str">
        <f t="shared" si="8"/>
        <v>[岗位职责]1.为用户提供规范、专业的新能源汽车保养、维修、装潢等售后服务；2.接受永达新能源所代理的品牌产品的专业知识与技术培训，完成各阶段成长任务；3.根据产品维修手册，规范使用工具设备，有效准确地进行车辆维修，并记录维修工单；4.熟练掌握车间的专用工具和诊断设备，定期对工具设备进行检查调整、保养或维修；5.在车间主管的带领下，认真执行车间5S，并与各分工部门保持紧密的合作与沟通。[任职资格]1.大专或以上学历，汽车相关专业；2.做事认真仔细，责任心强，对待工作积极主动；3.具备一定汽修知识以及相关证书；4.持有驾驶证并熟练驾驶汽车者优先。</v>
      </c>
      <c r="N96" s="7">
        <f t="shared" si="10"/>
        <v>0</v>
      </c>
      <c r="O96" s="7">
        <f t="shared" si="11"/>
        <v>0</v>
      </c>
    </row>
    <row r="97" spans="1:15">
      <c r="A97" s="7">
        <f t="shared" si="6"/>
        <v>4</v>
      </c>
      <c r="B97" s="7" t="s">
        <v>381</v>
      </c>
      <c r="C97" s="8" t="s">
        <v>382</v>
      </c>
      <c r="D97" s="7" t="s">
        <v>390</v>
      </c>
      <c r="E97" s="7">
        <v>10</v>
      </c>
      <c r="F97" s="7" t="s">
        <v>18</v>
      </c>
      <c r="G97" s="8" t="s">
        <v>391</v>
      </c>
      <c r="H97" s="7" t="s">
        <v>385</v>
      </c>
      <c r="I97" s="7" t="str">
        <f t="shared" si="9"/>
        <v>新能源汽车产品专家 - 上海（学历：大专 专业要求：无）</v>
      </c>
      <c r="J97" s="7">
        <f t="shared" si="7"/>
        <v>235</v>
      </c>
      <c r="K97" s="7">
        <f>_xlfn.XLOOKUP(A97,长度要求!A:A,长度要求!E:E)</f>
        <v>500</v>
      </c>
      <c r="L97" s="7" t="str">
        <f t="shared" si="8"/>
        <v>职位描述1、热情接待进店用户，专业、准确地向用户讲解永达新能源所代理的品牌与产品；2、提供专业、完善的试驾体验，提高用户对产品的认可，建立并维系用户关系；3、向用户传递永达新能源的核心价值观，提高用户对永达新能源的品牌认可；4、认真学习了解代理品牌及产品的相关知识，完成各阶段成长任务；5、积极围绕用户需求，执行落地用户活动，根据业务发展需求，完成分配的其他相关职责。职位要求1、大专及以上学历，市场营销及汽车相关专业优先；2、形象气质佳，平易近人；3、热爱汽车与科技。</v>
      </c>
      <c r="N97" s="7">
        <f t="shared" si="10"/>
        <v>0</v>
      </c>
      <c r="O97" s="7">
        <f t="shared" si="11"/>
        <v>0</v>
      </c>
    </row>
    <row r="98" spans="1:15">
      <c r="A98" s="7">
        <f t="shared" si="6"/>
        <v>2</v>
      </c>
      <c r="B98" s="7" t="s">
        <v>392</v>
      </c>
      <c r="C98" s="8" t="s">
        <v>393</v>
      </c>
      <c r="D98" s="7" t="s">
        <v>394</v>
      </c>
      <c r="E98" s="7">
        <v>3</v>
      </c>
      <c r="F98" s="7" t="s">
        <v>18</v>
      </c>
      <c r="G98" s="8" t="s">
        <v>395</v>
      </c>
      <c r="H98" s="7" t="s">
        <v>104</v>
      </c>
      <c r="I98" s="7" t="str">
        <f t="shared" si="9"/>
        <v>助理工程师（学历：大专 专业要求：建筑电气与智能化,建筑智能化工程技术,供热通风与空调工程技术,制冷与空调技术）</v>
      </c>
      <c r="J98" s="7">
        <f t="shared" si="7"/>
        <v>270</v>
      </c>
      <c r="K98" s="7">
        <f>_xlfn.XLOOKUP(A98,长度要求!A:A,长度要求!E:E)</f>
        <v>500</v>
      </c>
      <c r="L98" s="7" t="str">
        <f t="shared" si="8"/>
        <v>现招聘常驻上海、南通、杭州、广东河源、北京、河北廊坊等地的若干技术人员，要求如下：1)大专以上学历，智能化、自动化、机电一体化、暖通空调、制冷等相关专业毕业；2)有1~2年以上的实际工作经验（应届毕业生无工作经验要求）；3)熟练掌握CAD设计和Office办公软件的应用；4)有志向在大型数据中心行业长期发展；5)吃苦耐劳，有长时间在施工工地艰苦环境下工作和学习的心里准备；岗位职责：1、负责楼宇自控系统的安装、调试与维护工作；2、熟悉并能够处理常见的楼宇自控设备问题，确保系统稳定运行；3、参与楼宇自控项目的实施，提供技术支持和解决方案。</v>
      </c>
      <c r="M98" s="7" t="s">
        <v>396</v>
      </c>
      <c r="N98" s="7">
        <f t="shared" si="10"/>
        <v>38</v>
      </c>
      <c r="O98" s="7">
        <f t="shared" si="11"/>
        <v>4</v>
      </c>
    </row>
    <row r="99" spans="1:15">
      <c r="A99" s="7">
        <f t="shared" si="6"/>
        <v>2</v>
      </c>
      <c r="B99" s="7" t="s">
        <v>392</v>
      </c>
      <c r="C99" s="8" t="s">
        <v>393</v>
      </c>
      <c r="D99" s="7" t="s">
        <v>394</v>
      </c>
      <c r="E99" s="7">
        <v>3</v>
      </c>
      <c r="F99" s="7" t="s">
        <v>18</v>
      </c>
      <c r="G99" s="8" t="s">
        <v>395</v>
      </c>
      <c r="H99" s="7" t="s">
        <v>97</v>
      </c>
      <c r="I99" s="7" t="str">
        <f t="shared" si="9"/>
        <v>助理工程师（学历：大专 专业要求：建筑电气与智能化,建筑智能化工程技术,制冷与空调技术,供热、供燃气、通风及空调工程）</v>
      </c>
      <c r="J99" s="7">
        <f t="shared" si="7"/>
        <v>270</v>
      </c>
      <c r="K99" s="7">
        <f>_xlfn.XLOOKUP(A99,长度要求!A:A,长度要求!E:E)</f>
        <v>500</v>
      </c>
      <c r="L99" s="7" t="str">
        <f t="shared" si="8"/>
        <v>现招聘常驻上海、南通、杭州、广东河源、北京、河北廊坊等地的若干技术人员，要求如下：1)大专以上学历，智能化、自动化、机电一体化、暖通空调、制冷等相关专业毕业；2)有1~2年以上的实际工作经验（应届毕业生无工作经验要求）；3)熟练掌握CAD设计和Office办公软件的应用；4)有志向在大型数据中心行业长期发展；5)吃苦耐劳，有长时间在施工工地艰苦环境下工作和学习的心里准备；岗位职责：1、负责楼宇自控系统的安装、调试与维护工作；2、熟悉并能够处理常见的楼宇自控设备问题，确保系统稳定运行；3、参与楼宇自控项目的实施，提供技术支持和解决方案。</v>
      </c>
      <c r="M99" s="7" t="s">
        <v>397</v>
      </c>
      <c r="N99" s="7">
        <f t="shared" si="10"/>
        <v>41</v>
      </c>
      <c r="O99" s="7">
        <f t="shared" si="11"/>
        <v>4</v>
      </c>
    </row>
    <row r="100" spans="1:15">
      <c r="A100" s="7">
        <f t="shared" si="6"/>
        <v>3</v>
      </c>
      <c r="B100" s="7" t="s">
        <v>398</v>
      </c>
      <c r="C100" s="8" t="s">
        <v>399</v>
      </c>
      <c r="D100" s="7" t="s">
        <v>400</v>
      </c>
      <c r="E100" s="7">
        <v>3</v>
      </c>
      <c r="F100" s="7" t="s">
        <v>18</v>
      </c>
      <c r="G100" s="8" t="s">
        <v>401</v>
      </c>
      <c r="H100" s="7" t="s">
        <v>184</v>
      </c>
      <c r="I100" s="7" t="str">
        <f t="shared" si="9"/>
        <v>项目经理助理（学历：大专 专业要求：项目管理）</v>
      </c>
      <c r="J100" s="7">
        <f t="shared" si="7"/>
        <v>240</v>
      </c>
      <c r="K100" s="7">
        <f>_xlfn.XLOOKUP(A100,长度要求!A:A,长度要求!E:E)</f>
        <v>500</v>
      </c>
      <c r="L100" s="7" t="str">
        <f t="shared" si="8"/>
        <v>1、协助项目经理一起确认项目开发范围，协助项目经理撰写相关软件项目文档；2、协助项目经理确保项目进程与质量，并将项目阶段性成果反馈给相关项目干系人；3、项目内部协调，了解项目管理进度、项目风险等工作；4、领导安排的其他工作；任职资格：1、吃苦耐劳，责任心强，抗压能力强；2、良好的协调、沟通能力，强烈的团队意识和协作精神，主动性和执行力强；3、学习能力强，细心认真，有一定的分析和总结能力；4、熟练使用办公软件，如Excel、Word等；5、计算机专业、软件工程相关专业优先考虑；</v>
      </c>
      <c r="M100" s="7" t="s">
        <v>402</v>
      </c>
      <c r="N100" s="7">
        <f t="shared" si="10"/>
        <v>4</v>
      </c>
      <c r="O100" s="7">
        <f t="shared" si="11"/>
        <v>1</v>
      </c>
    </row>
    <row r="101" spans="1:15">
      <c r="A101" s="7">
        <f t="shared" si="6"/>
        <v>1</v>
      </c>
      <c r="B101" s="7" t="s">
        <v>403</v>
      </c>
      <c r="C101" s="8" t="s">
        <v>404</v>
      </c>
      <c r="D101" s="7" t="s">
        <v>403</v>
      </c>
      <c r="E101" s="7">
        <v>2</v>
      </c>
      <c r="F101" s="7" t="s">
        <v>18</v>
      </c>
      <c r="G101" s="8" t="s">
        <v>405</v>
      </c>
      <c r="H101" s="7" t="s">
        <v>406</v>
      </c>
      <c r="I101" s="7" t="str">
        <f t="shared" si="9"/>
        <v>闵行区吴泾第一幼儿园（学历：大专 专业要求：无）</v>
      </c>
      <c r="J101" s="7">
        <f t="shared" si="7"/>
        <v>216</v>
      </c>
      <c r="K101" s="7">
        <f>_xlfn.XLOOKUP(A101,长度要求!A:A,长度要求!E:E)</f>
        <v>500</v>
      </c>
      <c r="L101" s="7" t="str">
        <f t="shared" si="8"/>
        <v>幼儿园育婴员、保育员。持有国家认可的《保育员》或《育婴员》职业资格证书（或职业技能等级证书）。·具备有效的《健康证》。·爱孩子是第一位！富有爱心、耐心、责任心和“眼观六路、耳听八方”的细心。·性格温和开朗，有亲和力，喜欢和孩子相处，沟通能力良好。·注重团队合作，积极主动，服从工作安排。·加分项（优先考虑）：·有幼儿园、托育中心或相关保育工作经验者。·学前教育、护理、幼师等相关专业毕业。·掌握基本的儿童急救知识（如持有急救证书）。</v>
      </c>
      <c r="N101" s="7">
        <f t="shared" si="10"/>
        <v>0</v>
      </c>
      <c r="O101" s="7">
        <f t="shared" si="11"/>
        <v>0</v>
      </c>
    </row>
    <row r="102" spans="1:15">
      <c r="A102" s="7">
        <f t="shared" si="6"/>
        <v>1</v>
      </c>
      <c r="B102" s="7" t="s">
        <v>407</v>
      </c>
      <c r="C102" s="8" t="s">
        <v>408</v>
      </c>
      <c r="D102" s="7" t="s">
        <v>39</v>
      </c>
      <c r="E102" s="7">
        <v>2</v>
      </c>
      <c r="F102" s="7" t="s">
        <v>18</v>
      </c>
      <c r="G102" s="8" t="s">
        <v>409</v>
      </c>
      <c r="H102" s="7" t="s">
        <v>406</v>
      </c>
      <c r="I102" s="7" t="str">
        <f t="shared" si="9"/>
        <v>保育员（学历：大专 专业要求：无）</v>
      </c>
      <c r="J102" s="7">
        <f t="shared" si="7"/>
        <v>37</v>
      </c>
      <c r="K102" s="7">
        <f>_xlfn.XLOOKUP(A102,长度要求!A:A,长度要求!E:E)</f>
        <v>500</v>
      </c>
      <c r="L102" s="7" t="str">
        <f t="shared" si="8"/>
        <v>工作内容：一线班内跟班保育员要求：保育专业毕业，身体健康，热爱幼儿保育工作</v>
      </c>
      <c r="N102" s="7">
        <f t="shared" si="10"/>
        <v>0</v>
      </c>
      <c r="O102" s="7">
        <f t="shared" si="11"/>
        <v>0</v>
      </c>
    </row>
    <row r="103" spans="1:15">
      <c r="A103" s="7">
        <f t="shared" si="6"/>
        <v>5</v>
      </c>
      <c r="B103" s="7" t="s">
        <v>276</v>
      </c>
      <c r="C103" s="8" t="s">
        <v>277</v>
      </c>
      <c r="D103" s="7" t="s">
        <v>410</v>
      </c>
      <c r="E103" s="7">
        <v>2</v>
      </c>
      <c r="F103" s="7" t="s">
        <v>192</v>
      </c>
      <c r="G103" s="8" t="s">
        <v>411</v>
      </c>
      <c r="H103" s="7" t="s">
        <v>412</v>
      </c>
      <c r="I103" s="7" t="str">
        <f t="shared" si="9"/>
        <v>全案设计师（学历：本科 专业要求：家具设计与工程,产品设计,建筑设计,建筑室内设计）</v>
      </c>
      <c r="J103" s="7">
        <f t="shared" si="7"/>
        <v>613</v>
      </c>
      <c r="K103" s="7">
        <f>_xlfn.XLOOKUP(A103,长度要求!A:A,长度要求!E:E)</f>
        <v>500</v>
      </c>
      <c r="L103" s="7" t="str">
        <f t="shared" si="8"/>
        <v>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橱柜等搭配方案，跟进及协调客户订单完成；4、按照公司销售服务标准为客户提供优质服务，提升品牌形象；5、了解客户对公司产品及各环节服务评价或期望并反馈给公司及上级，为提升客户消费体验提供改进方向；6、更新公司硬装柜体方案模板，为客户提供更多优质的设计选择；7、能独立上门量尺寸，现场沟通；8、有家具销售经验者优先；9、具备良好的团队合作精神，有责任心，进取心；10、遵纪守法，有职业道德，并遵守公司各规章制度；11、完成上级下达的各项工作指令。任职要求：1、20岁以上，男女不限；艺术设计类大专以上学历；2、1年以上全案设计工作经验，硬装经验丰富优先录取；3、具备较好的空间感、色彩搭配能力、较高的悟性，能熟练使用autocad、Photoshop、PPT、酷家乐等设计软件优先考虑；4、熟悉各种装饰风格，具有良好的艺术修养，对软装设计行业有较强敏感度及充满极大的热情；5、工作细心，有条理……</v>
      </c>
      <c r="M103" s="7" t="s">
        <v>413</v>
      </c>
      <c r="N103" s="7">
        <f t="shared" si="10"/>
        <v>24</v>
      </c>
      <c r="O103" s="7">
        <f t="shared" si="11"/>
        <v>4</v>
      </c>
    </row>
    <row r="104" spans="1:15">
      <c r="A104" s="7">
        <f t="shared" si="6"/>
        <v>3</v>
      </c>
      <c r="B104" s="7" t="s">
        <v>398</v>
      </c>
      <c r="C104" s="8" t="s">
        <v>399</v>
      </c>
      <c r="D104" s="7" t="s">
        <v>414</v>
      </c>
      <c r="E104" s="7">
        <v>2</v>
      </c>
      <c r="F104" s="7" t="s">
        <v>18</v>
      </c>
      <c r="G104" s="8" t="s">
        <v>415</v>
      </c>
      <c r="H104" s="7" t="s">
        <v>184</v>
      </c>
      <c r="I104" s="7" t="str">
        <f t="shared" si="9"/>
        <v>Unity开发工程师（学历：大专 专业要求：智能制造工程,计算机科学与技术,工业机器人技术）</v>
      </c>
      <c r="J104" s="7">
        <f t="shared" si="7"/>
        <v>125</v>
      </c>
      <c r="K104" s="7">
        <f>_xlfn.XLOOKUP(A104,长度要求!A:A,长度要求!E:E)</f>
        <v>500</v>
      </c>
      <c r="L104" s="7" t="str">
        <f t="shared" si="8"/>
        <v>1、大三或大四在读学生，软件工程、计算机技术相关专业；2、熟悉Unity引擎，有用Unity自行开发过小型项目者加分；3、会使用C#语言，有良好的面向对象编程习惯；4、对设计模式有一定了解，熟悉UGUI/NGUI加分；5、有学习热情、良好的职业规划；</v>
      </c>
      <c r="M104" s="7" t="s">
        <v>416</v>
      </c>
      <c r="N104" s="7">
        <f t="shared" si="10"/>
        <v>23</v>
      </c>
      <c r="O104" s="7">
        <f t="shared" si="11"/>
        <v>3</v>
      </c>
    </row>
    <row r="105" spans="1:15">
      <c r="A105" s="7">
        <f t="shared" si="6"/>
        <v>3</v>
      </c>
      <c r="B105" s="7" t="s">
        <v>398</v>
      </c>
      <c r="C105" s="8" t="s">
        <v>399</v>
      </c>
      <c r="D105" s="7" t="s">
        <v>417</v>
      </c>
      <c r="E105" s="7">
        <v>2</v>
      </c>
      <c r="F105" s="7" t="s">
        <v>18</v>
      </c>
      <c r="G105" s="8" t="s">
        <v>418</v>
      </c>
      <c r="H105" s="7" t="s">
        <v>184</v>
      </c>
      <c r="I105" s="7" t="str">
        <f t="shared" si="9"/>
        <v>3D建模师（学历：大专 专业要求：文化创意与策划,智能工程与创意设计）</v>
      </c>
      <c r="J105" s="7">
        <f t="shared" si="7"/>
        <v>99</v>
      </c>
      <c r="K105" s="7">
        <f>_xlfn.XLOOKUP(A105,长度要求!A:A,长度要求!E:E)</f>
        <v>500</v>
      </c>
      <c r="L105" s="7" t="str">
        <f t="shared" si="8"/>
        <v>1.对VR有浓厚兴趣2.美术或艺术类相关专业，大三或者大四在校生；3.对PSMaya3DMax其中的软件有了解，能够独立完成道具建模工作；4.良好的职业道德和文化素养，踏实肯干，能够承受一定的压力；</v>
      </c>
      <c r="M105" s="7" t="s">
        <v>419</v>
      </c>
      <c r="N105" s="7">
        <f t="shared" si="10"/>
        <v>17</v>
      </c>
      <c r="O105" s="7">
        <f t="shared" si="11"/>
        <v>2</v>
      </c>
    </row>
    <row r="106" spans="1:15">
      <c r="A106" s="7">
        <f t="shared" si="6"/>
        <v>2</v>
      </c>
      <c r="B106" s="7" t="s">
        <v>31</v>
      </c>
      <c r="C106" s="8" t="s">
        <v>32</v>
      </c>
      <c r="D106" s="7" t="s">
        <v>33</v>
      </c>
      <c r="E106" s="7">
        <v>2</v>
      </c>
      <c r="F106" s="7" t="s">
        <v>34</v>
      </c>
      <c r="G106" s="8" t="s">
        <v>35</v>
      </c>
      <c r="H106" s="7" t="s">
        <v>420</v>
      </c>
      <c r="I106" s="7" t="str">
        <f t="shared" si="9"/>
        <v>机电实习生（学历：中专/技校 专业要求：汽车运用与维修技术,汽车检测与维修技术,汽车服务工程）</v>
      </c>
      <c r="J106" s="7">
        <f t="shared" si="7"/>
        <v>57</v>
      </c>
      <c r="K106" s="7">
        <f>_xlfn.XLOOKUP(A106,长度要求!A:A,长度要求!E:E)</f>
        <v>500</v>
      </c>
      <c r="L106" s="7" t="str">
        <f t="shared" si="8"/>
        <v>具有一定的汽车理论知识和汽车维修知识，具有较强的动手能力、语言表达能力、独立解决问题的能力、汽车工艺学习及钻研能力</v>
      </c>
      <c r="M106" s="7" t="s">
        <v>421</v>
      </c>
      <c r="N106" s="7">
        <f t="shared" si="10"/>
        <v>26</v>
      </c>
      <c r="O106" s="7">
        <f t="shared" si="11"/>
        <v>3</v>
      </c>
    </row>
    <row r="107" spans="1:15">
      <c r="A107" s="7">
        <f t="shared" si="6"/>
        <v>4</v>
      </c>
      <c r="B107" s="7" t="s">
        <v>422</v>
      </c>
      <c r="C107" s="8" t="s">
        <v>423</v>
      </c>
      <c r="D107" s="7" t="s">
        <v>424</v>
      </c>
      <c r="E107" s="7">
        <v>2</v>
      </c>
      <c r="F107" s="7" t="s">
        <v>425</v>
      </c>
      <c r="G107" s="8" t="s">
        <v>426</v>
      </c>
      <c r="H107" s="7" t="s">
        <v>427</v>
      </c>
      <c r="I107" s="7" t="str">
        <f t="shared" si="9"/>
        <v>电源研发岗（学历：硕士 专业要求：机械电子工程,电气工程及其自动化,电子信息工程,电力电子与电力传动,电子电路设计与工艺,电子与信息,新一代电子信息技术(含量子技术等)）</v>
      </c>
      <c r="J107" s="7">
        <f t="shared" si="7"/>
        <v>425</v>
      </c>
      <c r="K107" s="7">
        <f>_xlfn.XLOOKUP(A107,长度要求!A:A,长度要求!E:E)</f>
        <v>500</v>
      </c>
      <c r="L107" s="7" t="str">
        <f t="shared" si="8"/>
        <v>详细岗位职责(符合下列任一要求即可应聘)1，负责开关电源、射频电源开发设计、调试和验证等工作，包括电路设计、器件选型、电路仿真、技术资料编制等；2，负责磁性元件的设计选型及性能改善；3，从事DC/DC或AC/DC模块电源产品的硬件电路设计、售前、售后技术支持等工作。任职资格理论知识1，电力电子技术2，功率射频技术3，电源拓扑理论知识4，模拟电路5，数字电路6，自动控制原理专业技能1，熟悉常见开关电源拓扑，包括Buck，Boost,反激等。2，熟悉模拟电路设计，包括LDO、运算放大器；3，熟悉AltiumDesigner、Cadence等一种或多种设计软件；4，熟悉PSIM、Simplis/Saber、Matlab等一种或多种电力电子仿真软件；5，能够熟练使用示波器、信号发生器等仪器仪表，具备实际的硬件电路分析、调试等操作经验。6，具有MCU、DSP等微控制器开发电源经历者优先。素质要求分析解决问题能力，严谨性，逻辑能力，目标意识，抗压能力</v>
      </c>
      <c r="M107" s="7" t="s">
        <v>428</v>
      </c>
      <c r="N107" s="7">
        <f t="shared" si="10"/>
        <v>67</v>
      </c>
      <c r="O107" s="7">
        <f t="shared" si="11"/>
        <v>7</v>
      </c>
    </row>
    <row r="108" spans="1:15">
      <c r="A108" s="7">
        <f t="shared" si="6"/>
        <v>4</v>
      </c>
      <c r="B108" s="7" t="s">
        <v>422</v>
      </c>
      <c r="C108" s="8" t="s">
        <v>423</v>
      </c>
      <c r="D108" s="7" t="s">
        <v>429</v>
      </c>
      <c r="E108" s="7">
        <v>5</v>
      </c>
      <c r="F108" s="7" t="s">
        <v>192</v>
      </c>
      <c r="G108" s="8" t="s">
        <v>430</v>
      </c>
      <c r="H108" s="7" t="s">
        <v>431</v>
      </c>
      <c r="I108" s="7" t="str">
        <f t="shared" si="9"/>
        <v>电子综合岗（学历：本科 专业要求：机械电子工程,电子信息工程,航空电子电气技术,电子信息工程技术,应用电子技术）</v>
      </c>
      <c r="J108" s="7">
        <f t="shared" si="7"/>
        <v>441</v>
      </c>
      <c r="K108" s="7">
        <f>_xlfn.XLOOKUP(A108,长度要求!A:A,长度要求!E:E)</f>
        <v>500</v>
      </c>
      <c r="L108" s="7" t="str">
        <f t="shared" si="8"/>
        <v>详细岗位职责(符合下列任一要求即可应聘)1）开关电源及线性电路设计；（设计岗，本科及以上）2）嵌入式开发；（设计岗，本科及以上）3）真空物理电子学器件研发；（设计岗，本科及以上）3）结构设计；（设计岗，本科及以上）4）电子装联电子产品调试、测试（含微组装）；（工艺师岗，本科及以上）5）电子产品调试、测试、环境试验。（操作岗，大专以上）任职资格理论知识1）模电、数电（FPGA、DSP，VHDL、C编程）、开关电源；2）嵌入式开发（C编程）；3）物理电子学、微波电子学4）热、力有限元仿真；5）机械制图；6）电子装联工艺。专业技能1）模电、功率电路设计、仿真；2）VHDL编程、单片机编程；3）ADS、HFSS等软件应用；4）电子光学、注波互作用软件应用；5）机械设计(Pro/E、Ug、Solidworks、AutoCAD等机械设计软件)与装配；6）热、力、电磁学有限元仿真；7）电子装联工艺实操，产品调试、试验实操。素质要求分析解决问题能力，严谨性，逻辑能力，目标意识，抗压能力</v>
      </c>
      <c r="M108" s="7" t="s">
        <v>432</v>
      </c>
      <c r="N108" s="7">
        <f t="shared" si="10"/>
        <v>38</v>
      </c>
      <c r="O108" s="7">
        <f t="shared" si="11"/>
        <v>5</v>
      </c>
    </row>
    <row r="109" spans="1:15">
      <c r="A109" s="7">
        <f t="shared" si="6"/>
        <v>4</v>
      </c>
      <c r="B109" s="7" t="s">
        <v>422</v>
      </c>
      <c r="C109" s="8" t="s">
        <v>423</v>
      </c>
      <c r="D109" s="7" t="s">
        <v>433</v>
      </c>
      <c r="E109" s="7">
        <v>1</v>
      </c>
      <c r="F109" s="7" t="s">
        <v>18</v>
      </c>
      <c r="G109" s="8" t="s">
        <v>434</v>
      </c>
      <c r="H109" s="7" t="s">
        <v>435</v>
      </c>
      <c r="I109" s="7" t="str">
        <f t="shared" si="9"/>
        <v>人事行政助理（学历：大专 专业要求：企业管理（含：财务管理、市场营销、人力资源管理））</v>
      </c>
      <c r="J109" s="7">
        <f t="shared" si="7"/>
        <v>144</v>
      </c>
      <c r="K109" s="7">
        <f>_xlfn.XLOOKUP(A109,长度要求!A:A,长度要求!E:E)</f>
        <v>500</v>
      </c>
      <c r="L109" s="7" t="str">
        <f t="shared" si="8"/>
        <v>工作职责：1，统计每日考勤情况，并且确认缺勤员工信息2，行政物品采购，报销及供应商对接3，协助招聘工作4，合同档案管理5，员工花名册更新任职资格：1，大专及以上学历，接受在校应届生2，细心，有恒心，愿意在人事行政板块深入发展（有专业的导师帮助设计IDP个人成长计划）未来培养方向为HRBP</v>
      </c>
      <c r="M109" s="7" t="s">
        <v>436</v>
      </c>
      <c r="N109" s="7">
        <f t="shared" si="10"/>
        <v>24</v>
      </c>
      <c r="O109" s="7">
        <f t="shared" si="11"/>
        <v>1</v>
      </c>
    </row>
    <row r="110" spans="1:15">
      <c r="A110" s="7">
        <f t="shared" si="6"/>
        <v>4</v>
      </c>
      <c r="B110" s="7" t="s">
        <v>422</v>
      </c>
      <c r="C110" s="8" t="s">
        <v>423</v>
      </c>
      <c r="D110" s="7" t="s">
        <v>437</v>
      </c>
      <c r="E110" s="7">
        <v>5</v>
      </c>
      <c r="F110" s="7" t="s">
        <v>18</v>
      </c>
      <c r="G110" s="8" t="s">
        <v>438</v>
      </c>
      <c r="H110" s="7" t="s">
        <v>435</v>
      </c>
      <c r="I110" s="7" t="str">
        <f t="shared" si="9"/>
        <v>电装工艺岗（学历：大专 专业要求：电子信息工程,机械电子工程,微电子科学与工程,电子封装技术,电子信息科学与技术）</v>
      </c>
      <c r="J110" s="7">
        <f t="shared" si="7"/>
        <v>148</v>
      </c>
      <c r="K110" s="7">
        <f>_xlfn.XLOOKUP(A110,长度要求!A:A,长度要求!E:E)</f>
        <v>500</v>
      </c>
      <c r="L110" s="7" t="str">
        <f t="shared" si="8"/>
        <v>详细岗位职责1，电子装联电子产品调试、测试（含微组装）；（工艺师岗，大专及以上）2，电子产品调试、测试、环境试验。（操作岗，大专以上）任职资格理论知识1，电子装联工艺。专业技能1，电子装联工艺实操，产品调试、试验实操。2,会使用电烙铁素质要求分析解决问题能力，严谨性，逻辑能力，目标意识，抗压能力</v>
      </c>
      <c r="M110" s="7" t="s">
        <v>439</v>
      </c>
      <c r="N110" s="7">
        <f t="shared" si="10"/>
        <v>39</v>
      </c>
      <c r="O110" s="7">
        <f t="shared" si="11"/>
        <v>5</v>
      </c>
    </row>
    <row r="111" spans="1:15">
      <c r="A111" s="7">
        <f t="shared" si="6"/>
        <v>2</v>
      </c>
      <c r="B111" s="7" t="s">
        <v>141</v>
      </c>
      <c r="C111" s="8" t="s">
        <v>142</v>
      </c>
      <c r="D111" s="7" t="s">
        <v>303</v>
      </c>
      <c r="E111" s="7">
        <v>1</v>
      </c>
      <c r="F111" s="7" t="s">
        <v>18</v>
      </c>
      <c r="G111" s="8" t="s">
        <v>440</v>
      </c>
      <c r="H111" s="7" t="s">
        <v>77</v>
      </c>
      <c r="I111" s="7" t="str">
        <f t="shared" si="9"/>
        <v>销售（学历：大专 专业要求：无）</v>
      </c>
      <c r="J111" s="7">
        <f t="shared" si="7"/>
        <v>420</v>
      </c>
      <c r="K111" s="7">
        <f>_xlfn.XLOOKUP(A111,长度要求!A:A,长度要求!E:E)</f>
        <v>500</v>
      </c>
      <c r="L111" s="7" t="str">
        <f t="shared" si="8"/>
        <v>岗位职责：·顾客服务与销售：·热情接待每一位顾客，提供专业、耐心的咨询和穿搭建议。·洞察顾客需求，达成销售目标，并积极维护客户关系。·处理顾客的疑问和售后问题，提升顾客购物满意度。·店铺日常运营：·负责商品收货、盘点、陈列、补货和库存管理。·保持店铺环境整洁、美观，营造舒适的购物氛围。·熟练操作收银系统，完成每日销售结算工作。·团队协作：·与团队成员紧密合作，共同完成店铺销售目标和各项任务。·积极参与公司培训和团队会议，分享销售技巧和时尚资讯。·品牌形象维护：·以身作则，展现品牌的时尚形象和专业素养。·及时反馈市场信息和顾客意见，助力品牌成长。任职要求：·必备条件：·热爱时尚行业，对服装搭配有浓厚的兴趣和独特的见解。·性格开朗，具有良好的沟通表达能力和服务意识。·积极主动，有责任心，具备良好的团队合作精神。·能适应零售业周末、节假日的工作安排。·优先考虑：·有服装零售或相关销售工作经验者优先。·具备一定的抗压能力和目标导向思维。</v>
      </c>
      <c r="N111" s="7">
        <f t="shared" si="10"/>
        <v>0</v>
      </c>
      <c r="O111" s="7">
        <f t="shared" si="11"/>
        <v>0</v>
      </c>
    </row>
    <row r="112" spans="1:15">
      <c r="A112" s="7">
        <f t="shared" si="6"/>
        <v>3</v>
      </c>
      <c r="B112" s="7" t="s">
        <v>441</v>
      </c>
      <c r="C112" s="8" t="s">
        <v>442</v>
      </c>
      <c r="D112" s="7" t="s">
        <v>443</v>
      </c>
      <c r="E112" s="7">
        <v>10</v>
      </c>
      <c r="F112" s="7" t="s">
        <v>18</v>
      </c>
      <c r="G112" s="8" t="s">
        <v>444</v>
      </c>
      <c r="H112" s="7" t="s">
        <v>77</v>
      </c>
      <c r="I112" s="7" t="str">
        <f t="shared" si="9"/>
        <v>储备技术员（学历：大专 专业要求：机械设计制造类,电子信息类）</v>
      </c>
      <c r="J112" s="7">
        <f t="shared" si="7"/>
        <v>310</v>
      </c>
      <c r="K112" s="7">
        <f>_xlfn.XLOOKUP(A112,长度要求!A:A,长度要求!E:E)</f>
        <v>500</v>
      </c>
      <c r="L112" s="7" t="str">
        <f t="shared" si="8"/>
        <v>电子设计电子信息、电子科学与技术、信息与通信工程、物理、光学等　阵列设计电子信息、材料、物理、自动化、微电子电路设计物理、电子信息、材料、自动化、微电子结构设计机械、自动化、力学、材料、仪器、航空航天等理工类　光学设计材料、化学、光学、物理、电子信息、微电子等　传感器工艺(1550)工艺技术岗自动化、材料、化学、机械、仪器、力学等理工类CIM岗计算机、信息管理、自动化、电子信息等制造支持岗计算机、机械、自动化、电子信息、工业工程等　　设备岗自动化、机械、材料、仪器、电气等理工类质量岗材料、化学、仪器、光电、机械等理工类　厂务岗化学、环境、电气、机械、能源与动力等环安岗安全工程、化工、消防、电气、机械等理工类　　　</v>
      </c>
      <c r="M112" s="7" t="s">
        <v>445</v>
      </c>
      <c r="N112" s="7">
        <f t="shared" si="10"/>
        <v>13</v>
      </c>
      <c r="O112" s="7">
        <f t="shared" si="11"/>
        <v>2</v>
      </c>
    </row>
    <row r="113" spans="1:15">
      <c r="A113" s="7">
        <f t="shared" si="6"/>
        <v>3</v>
      </c>
      <c r="B113" s="7" t="s">
        <v>446</v>
      </c>
      <c r="C113" s="8" t="s">
        <v>447</v>
      </c>
      <c r="D113" s="7" t="s">
        <v>448</v>
      </c>
      <c r="E113" s="7">
        <v>1</v>
      </c>
      <c r="F113" s="7" t="s">
        <v>18</v>
      </c>
      <c r="G113" s="8" t="s">
        <v>449</v>
      </c>
      <c r="H113" s="7" t="s">
        <v>67</v>
      </c>
      <c r="I113" s="7" t="str">
        <f t="shared" si="9"/>
        <v>采购部实习生（2026届）（学历：大专 专业要求：无）</v>
      </c>
      <c r="J113" s="7">
        <f t="shared" si="7"/>
        <v>228</v>
      </c>
      <c r="K113" s="7">
        <f>_xlfn.XLOOKUP(A113,长度要求!A:A,长度要求!E:E)</f>
        <v>500</v>
      </c>
      <c r="L113" s="7" t="str">
        <f t="shared" si="8"/>
        <v>1.采购合同归档，供应商资料建档；2.采购系统内各项基本档案的建立，系统内门店订单的处理；3.订货数据的核对，订货单据的审核、保管、归档；4.货品及规格、价格、有效期等的录入，不定期维护和修正；5.日常对账，建立供应商往来明细，确保账实相符；6.对盘点数据进行跟进、核对，及时、准确维护库存管理系统；7.协助参与重要采购业务的的谈判，采购合同的起草，审核及签订工作;8.协助采购经理完成采购流程的建立与完善，采购方针，策略的制定等;9、公司交办的其他任务。</v>
      </c>
      <c r="N113" s="7">
        <f t="shared" si="10"/>
        <v>0</v>
      </c>
      <c r="O113" s="7">
        <f t="shared" si="11"/>
        <v>0</v>
      </c>
    </row>
    <row r="114" spans="1:15">
      <c r="A114" s="7">
        <f t="shared" si="6"/>
        <v>8</v>
      </c>
      <c r="B114" s="7" t="s">
        <v>450</v>
      </c>
      <c r="C114" s="8" t="s">
        <v>451</v>
      </c>
      <c r="D114" s="7" t="s">
        <v>452</v>
      </c>
      <c r="E114" s="7">
        <v>5</v>
      </c>
      <c r="F114" s="7" t="s">
        <v>18</v>
      </c>
      <c r="G114" s="8" t="s">
        <v>453</v>
      </c>
      <c r="H114" s="7" t="s">
        <v>454</v>
      </c>
      <c r="I114" s="7" t="str">
        <f t="shared" si="9"/>
        <v>阀门装配试验工（学历：大专 专业要求：无）</v>
      </c>
      <c r="J114" s="7">
        <f t="shared" si="7"/>
        <v>87</v>
      </c>
      <c r="K114" s="7">
        <f>_xlfn.XLOOKUP(A114,长度要求!A:A,长度要求!E:E)</f>
        <v>500</v>
      </c>
      <c r="L114" s="7" t="str">
        <f t="shared" si="8"/>
        <v>任职要求：机械或机电一体化专业，大专学历，高级工等级，具有较好的理论基础和扎实的技能水平，有扎实的钳工基本功，认真严谨仔细，能适应出差，从事航天阀门或导管、总体装配试验工作。</v>
      </c>
      <c r="N114" s="7">
        <f t="shared" si="10"/>
        <v>0</v>
      </c>
      <c r="O114" s="7">
        <f t="shared" si="11"/>
        <v>0</v>
      </c>
    </row>
    <row r="115" spans="1:15">
      <c r="A115" s="7">
        <f t="shared" si="6"/>
        <v>6</v>
      </c>
      <c r="B115" s="7" t="s">
        <v>455</v>
      </c>
      <c r="C115" s="8" t="s">
        <v>456</v>
      </c>
      <c r="D115" s="7" t="s">
        <v>288</v>
      </c>
      <c r="E115" s="7">
        <v>3</v>
      </c>
      <c r="F115" s="7" t="s">
        <v>18</v>
      </c>
      <c r="G115" s="8" t="s">
        <v>457</v>
      </c>
      <c r="H115" s="7" t="s">
        <v>458</v>
      </c>
      <c r="I115" s="7" t="str">
        <f t="shared" si="9"/>
        <v>电商客服（学历：大专 专业要求：无）</v>
      </c>
      <c r="J115" s="7">
        <f t="shared" si="7"/>
        <v>409</v>
      </c>
      <c r="K115" s="7">
        <f>_xlfn.XLOOKUP(A115,长度要求!A:A,长度要求!E:E)</f>
        <v>500</v>
      </c>
      <c r="L115" s="7" t="str">
        <f t="shared" si="8"/>
        <v>岗位职责：1．负责公司电商平台店铺的在线客服接待，提供及时、专业的售前与售后服务；2．准确理解客户需求和产品信息，确保回复内容清晰、无误，避免因信息传达错误导致的客户流失或投诉；3．日常收集整理客户反馈，包括登记客户问答、邀请客户评价、了解退换货原因，并处理客户投诉及安抚工作；4．与运营、技术、仓储、售后等人员保持顺畅沟通，及时传达活动安排，库存变化、产品更新等相关信息；5．尝试从对话中发现客户的真实需求或困惑，并将有价值的反馈传递给产品或运营团队；6.负责售后货物的信息核对、收货登记及入库相关流程，并定期汇总售后货物的情况；7.参与客户体验优化相关工作，如服务流程规范，客服话术更新、服务满意度提升等。岗位要求：1．2026届毕业生，大专及以上学历，专业不限；2．具备良好的沟通能力和团队合作意识；3.工作认真负责，有较强的学习能力和责任心；4．熟练使用办公软件：打字速度60字/分钟，熟悉办公软件及网络工具。</v>
      </c>
      <c r="N115" s="7">
        <f t="shared" si="10"/>
        <v>0</v>
      </c>
      <c r="O115" s="7">
        <f t="shared" si="11"/>
        <v>0</v>
      </c>
    </row>
    <row r="116" spans="1:15">
      <c r="A116" s="7">
        <f t="shared" si="6"/>
        <v>2</v>
      </c>
      <c r="B116" s="7" t="s">
        <v>459</v>
      </c>
      <c r="C116" s="8" t="s">
        <v>460</v>
      </c>
      <c r="D116" s="7" t="s">
        <v>461</v>
      </c>
      <c r="E116" s="7">
        <v>2</v>
      </c>
      <c r="F116" s="7" t="s">
        <v>18</v>
      </c>
      <c r="G116" s="8" t="s">
        <v>462</v>
      </c>
      <c r="H116" s="7" t="s">
        <v>67</v>
      </c>
      <c r="I116" s="7" t="str">
        <f t="shared" si="9"/>
        <v>机电维修（学历：大专 专业要求：无）</v>
      </c>
      <c r="J116" s="7">
        <f t="shared" si="7"/>
        <v>29</v>
      </c>
      <c r="K116" s="7">
        <f>_xlfn.XLOOKUP(A116,长度要求!A:A,长度要求!E:E)</f>
        <v>500</v>
      </c>
      <c r="L116" s="7" t="str">
        <f t="shared" si="8"/>
        <v>机电维修、高压电工值班等工作，并完成领导领导交办的其他任务</v>
      </c>
      <c r="N116" s="7">
        <f t="shared" si="10"/>
        <v>0</v>
      </c>
      <c r="O116" s="7">
        <f t="shared" si="11"/>
        <v>0</v>
      </c>
    </row>
    <row r="117" spans="1:15">
      <c r="A117" s="7">
        <f t="shared" si="6"/>
        <v>5</v>
      </c>
      <c r="B117" s="7" t="s">
        <v>83</v>
      </c>
      <c r="C117" s="8" t="s">
        <v>84</v>
      </c>
      <c r="D117" s="7" t="s">
        <v>463</v>
      </c>
      <c r="E117" s="7">
        <v>3</v>
      </c>
      <c r="F117" s="7" t="s">
        <v>18</v>
      </c>
      <c r="G117" s="8" t="s">
        <v>464</v>
      </c>
      <c r="H117" s="7" t="s">
        <v>67</v>
      </c>
      <c r="I117" s="7" t="str">
        <f t="shared" si="9"/>
        <v>主动营销（学历：大专 专业要求：电子商务,跨境电子商务,电子商务技术,电子商务类）</v>
      </c>
      <c r="J117" s="7">
        <f t="shared" si="7"/>
        <v>196</v>
      </c>
      <c r="K117" s="7">
        <f>_xlfn.XLOOKUP(A117,长度要求!A:A,长度要求!E:E)</f>
        <v>500</v>
      </c>
      <c r="L117" s="7" t="str">
        <f t="shared" si="8"/>
        <v>要求：1：依托公司平台开发新客户，日常电话，邮件等多种方式开发及跟进海外客户。2：熟练运用各种搜索平台，能独立开发客户3：可熟练阅读和收发国外邮件，大专及以上学历，有较好的英文沟通能力4：良好的沟通，计划，执行及时间管理能力，具备较强的团队精神，工作认真，责任心强5：良好的文字功底，较强的网站专题策划和信息采编能力工作内容：1）社交媒体（FB,linkedin）新客户的开发2）老客户的维护</v>
      </c>
      <c r="M117" s="7" t="s">
        <v>465</v>
      </c>
      <c r="N117" s="7">
        <f t="shared" si="10"/>
        <v>24</v>
      </c>
      <c r="O117" s="7">
        <f t="shared" si="11"/>
        <v>4</v>
      </c>
    </row>
    <row r="118" spans="1:15">
      <c r="A118" s="7">
        <f t="shared" si="6"/>
        <v>5</v>
      </c>
      <c r="B118" s="7" t="s">
        <v>83</v>
      </c>
      <c r="C118" s="8" t="s">
        <v>84</v>
      </c>
      <c r="D118" s="7" t="s">
        <v>466</v>
      </c>
      <c r="E118" s="7">
        <v>3</v>
      </c>
      <c r="F118" s="7" t="s">
        <v>18</v>
      </c>
      <c r="G118" s="8" t="s">
        <v>467</v>
      </c>
      <c r="H118" s="7" t="s">
        <v>67</v>
      </c>
      <c r="I118" s="7" t="str">
        <f t="shared" si="9"/>
        <v>文案实习生/英语编辑实习（学历：大专 专业要求：汉语言文学,英语,商务英语,英语语言文学,编辑出版学,新媒体艺术,市场营销,广告学）</v>
      </c>
      <c r="J118" s="7">
        <f t="shared" si="7"/>
        <v>162</v>
      </c>
      <c r="K118" s="7">
        <f>_xlfn.XLOOKUP(A118,长度要求!A:A,长度要求!E:E)</f>
        <v>500</v>
      </c>
      <c r="L118" s="7" t="str">
        <f t="shared" si="8"/>
        <v>要求：1：有扎实的文字功底，中文，英文，编辑，媒体，市场营销，广告，汉语言文学专业皆可2：英语四级以上3：电脑使用熟练，能熟练操作各类办公软件工作内容：1：社交媒体日常文章的更新2：SEO文章的更新需求人数：2-4人女生优先备注：一天至少要写2-6篇原创文章（非AI写的文章），不符合要求的会需要修改，接受不了要修改的不要投</v>
      </c>
      <c r="M118" s="7" t="s">
        <v>468</v>
      </c>
      <c r="N118" s="7">
        <f t="shared" si="10"/>
        <v>41</v>
      </c>
      <c r="O118" s="7">
        <f t="shared" si="11"/>
        <v>8</v>
      </c>
    </row>
    <row r="119" spans="1:15">
      <c r="A119" s="7">
        <f t="shared" si="6"/>
        <v>5</v>
      </c>
      <c r="B119" s="7" t="s">
        <v>83</v>
      </c>
      <c r="C119" s="8" t="s">
        <v>84</v>
      </c>
      <c r="D119" s="7" t="s">
        <v>469</v>
      </c>
      <c r="E119" s="7">
        <v>3</v>
      </c>
      <c r="F119" s="7" t="s">
        <v>18</v>
      </c>
      <c r="G119" s="8" t="s">
        <v>470</v>
      </c>
      <c r="H119" s="7" t="s">
        <v>67</v>
      </c>
      <c r="I119" s="7" t="str">
        <f t="shared" si="9"/>
        <v>视频制作/运营/拍摄（学历：大专 专业要求：数字媒体艺术,影视摄影与制作,影视技术,视觉传达设计,视觉传播设计与制作）</v>
      </c>
      <c r="J119" s="7">
        <f t="shared" si="7"/>
        <v>279</v>
      </c>
      <c r="K119" s="7">
        <f>_xlfn.XLOOKUP(A119,长度要求!A:A,长度要求!E:E)</f>
        <v>500</v>
      </c>
      <c r="L119" s="7" t="str">
        <f t="shared" si="8"/>
        <v>1）数字媒体，影视，视觉传达相关专业优先，有短视频制作经验优先2）了解镜头语言，熟练操作剪映，PR,PS,AE等视频及图片处理软件3）网感好，对短视频算法有一定了解4）良好的沟通，计划，执行及时间管理能力，具备较强的团队精神，工作认真，责任心强5）大专在读及以上学历，拥有大学英语四级优先6）熟练使用PR/AE/AU等专业剪辑后期软件，以及剪映工作内容：抖音/小红书/视频号/youtube/ins/tiktok平台视频的制作，发布以及运营需求人数：2-4人，男生女生皆可备注：一天要剪辑3-6个20S以上的视频，不符合要求的需要修改，接受不了要修改的不要投</v>
      </c>
      <c r="M119" s="7" t="s">
        <v>471</v>
      </c>
      <c r="N119" s="7">
        <f t="shared" si="10"/>
        <v>36</v>
      </c>
      <c r="O119" s="7">
        <f t="shared" si="11"/>
        <v>5</v>
      </c>
    </row>
    <row r="120" spans="1:15">
      <c r="A120" s="7">
        <f t="shared" si="6"/>
        <v>5</v>
      </c>
      <c r="B120" s="7" t="s">
        <v>83</v>
      </c>
      <c r="C120" s="8" t="s">
        <v>84</v>
      </c>
      <c r="D120" s="7" t="s">
        <v>164</v>
      </c>
      <c r="E120" s="7">
        <v>3</v>
      </c>
      <c r="F120" s="7" t="s">
        <v>18</v>
      </c>
      <c r="G120" s="8" t="s">
        <v>472</v>
      </c>
      <c r="H120" s="7" t="s">
        <v>67</v>
      </c>
      <c r="I120" s="7" t="str">
        <f t="shared" si="9"/>
        <v>平面设计（学历：大专 专业要求：艺术设计学,视觉传达设计,设计艺术学,艺术设计,视觉传播设计与制作,数字媒体艺术设计,工艺美术品设计）</v>
      </c>
      <c r="J120" s="7">
        <f t="shared" si="7"/>
        <v>303</v>
      </c>
      <c r="K120" s="7">
        <f>_xlfn.XLOOKUP(A120,长度要求!A:A,长度要求!E:E)</f>
        <v>500</v>
      </c>
      <c r="L120" s="7" t="str">
        <f t="shared" si="8"/>
        <v>要求：（该岗位需要较高的制图能力，有经验者优先）1）专科以上学历视觉传达等艺术专业在校生大三大四实习生2）熟悉使用AIPs等平面设计软件（会3DC4dPrAe优先）3）协助团队完成公司简单设计工作4）良好的审美，乐于学习新鲜事物，沟通能力和团队协作能力较强5）上海在校学生/艺术设计学院工作内容：1）每天要做6-8套小红书图文笔记（每套不少于4张图）或者6-8套ins笔记（每套不少于4张图）或者pinterest6-8套ins笔记（每套不少于4张图）2）日常的简单的网站设计，banner设计，图片设计，PPF或者画册设计需求人数：2-4人，男生女生皆可备注：不符合要求的需要修改，接受不了要修改的不要投</v>
      </c>
      <c r="M120" s="7" t="s">
        <v>473</v>
      </c>
      <c r="N120" s="7">
        <f t="shared" si="10"/>
        <v>50</v>
      </c>
      <c r="O120" s="7">
        <f t="shared" si="11"/>
        <v>7</v>
      </c>
    </row>
    <row r="121" spans="1:15">
      <c r="A121" s="7">
        <f t="shared" si="6"/>
        <v>2</v>
      </c>
      <c r="B121" s="7" t="s">
        <v>474</v>
      </c>
      <c r="C121" s="8" t="s">
        <v>475</v>
      </c>
      <c r="D121" s="7" t="s">
        <v>476</v>
      </c>
      <c r="E121" s="7">
        <v>4</v>
      </c>
      <c r="F121" s="7" t="s">
        <v>18</v>
      </c>
      <c r="G121" s="8" t="s">
        <v>477</v>
      </c>
      <c r="H121" s="7" t="s">
        <v>67</v>
      </c>
      <c r="I121" s="7" t="str">
        <f t="shared" si="9"/>
        <v>电讯装配岗（大专实习）（学历：大专 专业要求：无）</v>
      </c>
      <c r="J121" s="7">
        <f t="shared" si="7"/>
        <v>144</v>
      </c>
      <c r="K121" s="7">
        <f>_xlfn.XLOOKUP(A121,长度要求!A:A,长度要求!E:E)</f>
        <v>500</v>
      </c>
      <c r="L121" s="7" t="str">
        <f t="shared" si="8"/>
        <v>岗位职责：按照装配图纸和制程工艺进行印制板、元器件的手工电讯装配；对电子元器件、印制板、电缆、机柜等进行检验。岗位要求：1.具有较好的电路知识；2.具有一定的动手能力；3.工作细致、责任心强，身体健康、能吃苦耐劳；4.具有良好团队意识和沟通协调能力；5.具有无线电装调类职业资格证书优先。</v>
      </c>
      <c r="N121" s="7">
        <f t="shared" si="10"/>
        <v>0</v>
      </c>
      <c r="O121" s="7">
        <f t="shared" si="11"/>
        <v>0</v>
      </c>
    </row>
    <row r="122" spans="1:15">
      <c r="A122" s="7">
        <f t="shared" si="6"/>
        <v>7</v>
      </c>
      <c r="B122" s="7" t="s">
        <v>73</v>
      </c>
      <c r="C122" s="8" t="s">
        <v>74</v>
      </c>
      <c r="D122" s="7" t="s">
        <v>478</v>
      </c>
      <c r="E122" s="7">
        <v>1</v>
      </c>
      <c r="F122" s="7" t="s">
        <v>18</v>
      </c>
      <c r="G122" s="8" t="s">
        <v>479</v>
      </c>
      <c r="H122" s="7" t="s">
        <v>480</v>
      </c>
      <c r="I122" s="7" t="str">
        <f t="shared" si="9"/>
        <v>空调维修实习工程师（学历：大专 专业要求：制冷与空调技术）</v>
      </c>
      <c r="J122" s="7">
        <f t="shared" si="7"/>
        <v>307</v>
      </c>
      <c r="K122" s="7">
        <f>_xlfn.XLOOKUP(A122,长度要求!A:A,长度要求!E:E)</f>
        <v>500</v>
      </c>
      <c r="L122" s="7" t="str">
        <f t="shared" si="8"/>
        <v>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v>
      </c>
      <c r="M122" s="7" t="s">
        <v>481</v>
      </c>
      <c r="N122" s="7">
        <f t="shared" si="10"/>
        <v>7</v>
      </c>
      <c r="O122" s="7">
        <f t="shared" si="11"/>
        <v>1</v>
      </c>
    </row>
    <row r="123" spans="1:15">
      <c r="A123" s="7">
        <f t="shared" si="6"/>
        <v>7</v>
      </c>
      <c r="B123" s="7" t="s">
        <v>73</v>
      </c>
      <c r="C123" s="8" t="s">
        <v>74</v>
      </c>
      <c r="D123" s="7" t="s">
        <v>482</v>
      </c>
      <c r="E123" s="7">
        <v>1</v>
      </c>
      <c r="F123" s="7" t="s">
        <v>18</v>
      </c>
      <c r="G123" s="8" t="s">
        <v>483</v>
      </c>
      <c r="H123" s="7" t="s">
        <v>484</v>
      </c>
      <c r="I123" s="7" t="str">
        <f t="shared" si="9"/>
        <v>空调维修工程师（学历：大专 专业要求：制冷与空调技术）</v>
      </c>
      <c r="J123" s="7">
        <f t="shared" si="7"/>
        <v>340</v>
      </c>
      <c r="K123" s="7">
        <f>_xlfn.XLOOKUP(A123,长度要求!A:A,长度要求!E:E)</f>
        <v>500</v>
      </c>
      <c r="L123" s="7" t="str">
        <f t="shared" si="8"/>
        <v>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该岗位招募实习生，实习期间月薪3000+500全勤奖+500饭贴。</v>
      </c>
      <c r="M123" s="7" t="s">
        <v>481</v>
      </c>
      <c r="N123" s="7">
        <f t="shared" si="10"/>
        <v>7</v>
      </c>
      <c r="O123" s="7">
        <f t="shared" si="11"/>
        <v>1</v>
      </c>
    </row>
    <row r="124" spans="1:15">
      <c r="A124" s="7">
        <f t="shared" si="6"/>
        <v>2</v>
      </c>
      <c r="B124" s="7" t="s">
        <v>485</v>
      </c>
      <c r="C124" s="8" t="s">
        <v>486</v>
      </c>
      <c r="D124" s="7" t="s">
        <v>487</v>
      </c>
      <c r="E124" s="7">
        <v>3</v>
      </c>
      <c r="F124" s="7" t="s">
        <v>27</v>
      </c>
      <c r="G124" s="8" t="s">
        <v>488</v>
      </c>
      <c r="H124" s="7" t="s">
        <v>178</v>
      </c>
      <c r="I124" s="7" t="str">
        <f t="shared" si="9"/>
        <v>课程专员（学历：初中及以下 专业要求：无）</v>
      </c>
      <c r="J124" s="7">
        <f t="shared" si="7"/>
        <v>1913</v>
      </c>
      <c r="K124" s="7">
        <f>_xlfn.XLOOKUP(A124,长度要求!A:A,长度要求!E:E)</f>
        <v>500</v>
      </c>
      <c r="L124" s="7" t="str">
        <f t="shared" si="8"/>
        <v>菁茼（上海）教育科技｜课程专员（电竞教育方向）职位描述工作地点：上海（总部，需定期赴合作院校/企业调研）汇报对象：电竞教育课程研发负责人核心职责1.课纲与教材开发的辅助支持​•协助课程组专家完成电竞课纲/教材的基础搭建：根据专家确定的课程方向（如“电竞运营”“赛事解说”），收集行业资料（赛事规则、企业岗位JD、最新游戏版本更新等），整理成结构化素材包供专家参考；•参与教材初稿的内容校对与优化：协助检查教材逻辑连贯性、案例时效性（如替换过时赛事数据为新赛季案例），标注学生易混淆知识点，配合专家完成一轮轮修订；•跟踪课程试点反馈：协助专家收集合作院校的课堂反馈（如学生提问高频点、教师教学难点），整理成《课程优化建议清单》，为专家迭代内容提供数据支撑。2.院校与企业需求的翻译与传递​•对接合作院校的教师与学生：通过访谈、问卷收集教学痛点（如“学生缺乏赛事执行实操机会”“理论课太枯燥”），转化为专家能理解的“需求关键词”（如“增加沙盘模拟环节”“插入短视频制作案例”）；•对接用人企业（如电竞俱乐部、直播平台）的HR与业务负责人：梳理企业真实岗位技能要求（如“赛事直播控场能力”“俱乐部舆情管理能……</v>
      </c>
      <c r="N124" s="7">
        <f t="shared" si="10"/>
        <v>0</v>
      </c>
      <c r="O124" s="7">
        <f t="shared" si="11"/>
        <v>0</v>
      </c>
    </row>
    <row r="125" spans="1:15">
      <c r="A125" s="7">
        <f t="shared" si="6"/>
        <v>2</v>
      </c>
      <c r="B125" s="7" t="s">
        <v>485</v>
      </c>
      <c r="C125" s="8" t="s">
        <v>486</v>
      </c>
      <c r="D125" s="7" t="s">
        <v>489</v>
      </c>
      <c r="E125" s="7">
        <v>5</v>
      </c>
      <c r="F125" s="7" t="s">
        <v>27</v>
      </c>
      <c r="G125" s="8" t="s">
        <v>490</v>
      </c>
      <c r="H125" s="7" t="s">
        <v>178</v>
      </c>
      <c r="I125" s="7" t="str">
        <f t="shared" si="9"/>
        <v>院校拓展助理（学历：初中及以下 专业要求：无）</v>
      </c>
      <c r="J125" s="7">
        <f t="shared" si="7"/>
        <v>1727</v>
      </c>
      <c r="K125" s="7">
        <f>_xlfn.XLOOKUP(A125,长度要求!A:A,长度要求!E:E)</f>
        <v>500</v>
      </c>
      <c r="L125" s="7" t="str">
        <f t="shared" si="8"/>
        <v>菁茼（上海）教育科技｜院校拓展助理（电竞教育方向）职位描述工作地点：BASE上海，覆盖5城：株洲、珠海、滨州、苏州、成都（需频繁出差）汇报对象：电竞教育板块区域负责人核心职责​1.目标院校开发与关系维护​•负责湖南株洲、广东珠海、山东滨州、江苏苏州、四川成都5地目标院校（民办职校/中专/技校/大专为主）的拓展与对接；•深入调研院校需求（如专业共建、兴趣班开设、学生就业出口等），结合菁茼电竞教育资源（课程体系、职业认证、企业实习等），定制“院校-企业”合作方案；•维护院校高层、二级学院院长、专业带头人等关键决策人关系，定期拜访并推进合作进度。2.电竞专业/兴趣班合作落地​•推动院校与菁茼签订《电竞专业共建协议》或《兴趣班合作协议》，协调完成课程大纲制定、教材引入、师资培训（公司提供职业讲师+高校教师双轨支持）等前期筹备；•配合院校完成招生指标，设计“电竞专业/兴趣班”专属招生简章，协同高校开展线上线下宣讲（如校园讲座、电竞体验赛、企业导师进课堂等活动）；•跟进合作项目全周期：从签约到开班、教学执行（协调公司师资/设备/赛事资源）、学生实习就业（对接公司合作企业资源）至口碑反馈，确保合作质……</v>
      </c>
      <c r="N125" s="7">
        <f t="shared" si="10"/>
        <v>0</v>
      </c>
      <c r="O125" s="7">
        <f t="shared" si="11"/>
        <v>0</v>
      </c>
    </row>
    <row r="126" spans="1:15">
      <c r="A126" s="7">
        <f t="shared" si="6"/>
        <v>5</v>
      </c>
      <c r="B126" s="7" t="s">
        <v>491</v>
      </c>
      <c r="C126" s="8" t="s">
        <v>492</v>
      </c>
      <c r="D126" s="7" t="s">
        <v>493</v>
      </c>
      <c r="E126" s="7">
        <v>10</v>
      </c>
      <c r="F126" s="7" t="s">
        <v>27</v>
      </c>
      <c r="G126" s="8" t="s">
        <v>494</v>
      </c>
      <c r="H126" s="7" t="s">
        <v>495</v>
      </c>
      <c r="I126" s="7" t="str">
        <f t="shared" si="9"/>
        <v>经纪人/星探/运营（学历：初中及以下 专业要求：无）</v>
      </c>
      <c r="J126" s="7">
        <f t="shared" si="7"/>
        <v>421</v>
      </c>
      <c r="K126" s="7">
        <f>_xlfn.XLOOKUP(A126,长度要求!A:A,长度要求!E:E)</f>
        <v>500</v>
      </c>
      <c r="L126" s="7" t="str">
        <f t="shared" si="8"/>
        <v>岗位职责：1.发掘潜力主播：通过各大直播平台、社交媒体等渠道，寻找有潜力的FPS游戏主播，评估其直播风格、技术水平及粉丝互动能力。2.签约与谈判：与目标主播沟通，达成合作意向，完成签约流程，确保双方权益。3.主播培养：协助新签约主播制定直播计划，提供内容建议，帮助其提升直播效果与粉丝粘性。4.数据分析：跟踪主播的直播数据（如观看人数、互动率等），定期分析并优化运营策略。5.资源对接：为主播争取平台推荐位、活动资源等，提升曝光率。6.维护关系：与主播保持良好沟通，解决其直播中的问题，确保长期合作。任职要求：1.热爱FPS游戏：熟悉《无畏契约》、《三角洲》等FPS游戏，了解游戏圈动态及玩家需求。2.行业经验：有直播行业、电竞行业或艺人经纪相关经验者优先。3.敏锐洞察力：能快速识别有潜力的主播，判断其发展前景。4.沟通能力强：具备优秀的谈判与沟通技巧，能与主播、平台等多方建立良好关系。5.有良好的数据分析能力、责任心与执行力、抗压能力。</v>
      </c>
      <c r="N126" s="7">
        <f t="shared" si="10"/>
        <v>0</v>
      </c>
      <c r="O126" s="7">
        <f t="shared" si="11"/>
        <v>0</v>
      </c>
    </row>
    <row r="127" spans="1:15">
      <c r="A127" s="7">
        <f t="shared" si="6"/>
        <v>5</v>
      </c>
      <c r="B127" s="7" t="s">
        <v>491</v>
      </c>
      <c r="C127" s="8" t="s">
        <v>492</v>
      </c>
      <c r="D127" s="7" t="s">
        <v>496</v>
      </c>
      <c r="E127" s="7">
        <v>1</v>
      </c>
      <c r="F127" s="7" t="s">
        <v>27</v>
      </c>
      <c r="G127" s="8" t="s">
        <v>497</v>
      </c>
      <c r="H127" s="7" t="s">
        <v>82</v>
      </c>
      <c r="I127" s="7" t="str">
        <f t="shared" si="9"/>
        <v>HR招聘专员（游戏向）（学历：初中及以下 专业要求：企业管理（含：财务管理、市场营销、人力资源管理））</v>
      </c>
      <c r="J127" s="7">
        <f t="shared" si="7"/>
        <v>271</v>
      </c>
      <c r="K127" s="7">
        <f>_xlfn.XLOOKUP(A127,长度要求!A:A,长度要求!E:E)</f>
        <v>500</v>
      </c>
      <c r="L127" s="7" t="str">
        <f t="shared" si="8"/>
        <v>岗位职责：1、负责游戏行业相关岗位的招聘工作，包括编导、剪辑、运营等职位的筛选与面试安排；2、利用多种渠道发布招聘信息，吸引并筛选合适的候选人；3、与候选人保持良好沟通，了解其职业需求，提供专业的招聘咨询服务；4、有MCN、直播、游戏行业招募经验者优先。任职要求：1、对游戏行业有浓厚兴趣，了解游戏的基本知识与运营模式；2、具备良好的沟通能力和人际交往技巧，能够高效地与候选人及团队沟通；3、具有较强的组织和协调能力，能够独立处理招聘全流程；4、熟练使用各类招聘工具和办公软件，具备数据分析能力；5、积极主动，具有高度的责任心和团队合作精神。</v>
      </c>
      <c r="M127" s="7" t="s">
        <v>436</v>
      </c>
      <c r="N127" s="7">
        <f t="shared" si="10"/>
        <v>24</v>
      </c>
      <c r="O127" s="7">
        <f t="shared" si="11"/>
        <v>1</v>
      </c>
    </row>
    <row r="128" spans="1:15">
      <c r="A128" s="7">
        <f t="shared" si="6"/>
        <v>5</v>
      </c>
      <c r="B128" s="7" t="s">
        <v>491</v>
      </c>
      <c r="C128" s="8" t="s">
        <v>492</v>
      </c>
      <c r="D128" s="7" t="s">
        <v>498</v>
      </c>
      <c r="E128" s="7">
        <v>1</v>
      </c>
      <c r="F128" s="7" t="s">
        <v>27</v>
      </c>
      <c r="G128" s="8" t="s">
        <v>499</v>
      </c>
      <c r="H128" s="7" t="s">
        <v>500</v>
      </c>
      <c r="I128" s="7" t="str">
        <f t="shared" si="9"/>
        <v>视频编导（有真人向破圈经验）（学历：初中及以下 专业要求：无）</v>
      </c>
      <c r="J128" s="7">
        <f t="shared" si="7"/>
        <v>303</v>
      </c>
      <c r="K128" s="7">
        <f>_xlfn.XLOOKUP(A128,长度要求!A:A,长度要求!E:E)</f>
        <v>500</v>
      </c>
      <c r="L128" s="7" t="str">
        <f t="shared" si="8"/>
        <v>岗位职责1.负责公司达人真人向视频的内容创意、脚本撰写、分镜设计及现场执导；2.深度挖掘达人人设（唐启华、煎饼郭子等），策划并执行跨界破圈内容（如：游戏+剧情/颜值/文化等）；3.跟踪视频数据（播放、完播、互动），基于数据反馈持续优化内容方向；4.协同拍摄与后期团队，把控视频质量，确保内容高效产出。任职要求：1.2年以上短视频或影视编导经验，有成熟破圈视频案例优先；2.网感极佳，深刻理解短视频平台的流量密码和流行趋势；3.具备出色的创意策划能力和剧本写作能力，能独立完成脚本创作；4.了解游戏，对《无畏契约》有基本了解兴趣，对达人人设有基本认知。5.具备良好的团队协作和沟通能力，能承受快节奏工作压力。</v>
      </c>
      <c r="N128" s="7">
        <f t="shared" si="10"/>
        <v>0</v>
      </c>
      <c r="O128" s="7">
        <f t="shared" si="11"/>
        <v>0</v>
      </c>
    </row>
    <row r="129" spans="1:15">
      <c r="A129" s="7">
        <f t="shared" si="6"/>
        <v>5</v>
      </c>
      <c r="B129" s="7" t="s">
        <v>491</v>
      </c>
      <c r="C129" s="8" t="s">
        <v>492</v>
      </c>
      <c r="D129" s="7" t="s">
        <v>501</v>
      </c>
      <c r="E129" s="7">
        <v>1</v>
      </c>
      <c r="F129" s="7" t="s">
        <v>27</v>
      </c>
      <c r="G129" s="8" t="s">
        <v>502</v>
      </c>
      <c r="H129" s="7" t="s">
        <v>500</v>
      </c>
      <c r="I129" s="7" t="str">
        <f t="shared" si="9"/>
        <v>游戏脚本策划（无畏契约）（学历：初中及以下 专业要求：无）</v>
      </c>
      <c r="J129" s="7">
        <f t="shared" si="7"/>
        <v>291</v>
      </c>
      <c r="K129" s="7">
        <f>_xlfn.XLOOKUP(A129,长度要求!A:A,长度要求!E:E)</f>
        <v>500</v>
      </c>
      <c r="L129" s="7" t="str">
        <f t="shared" si="8"/>
        <v>岗位职责:1.负责无畏契约原创视频账号的内容创意开发与剧本撰写，确保内容质量和风格符合目标受众的喜好；2.与团队成员紧密合作，参与视频项目的全程制作，包括录制、剪辑、后期（基础的剪辑功底）等；3.紧跟行业动态，不断更新游戏知识和视频内容，以提升视频吸引力和观看率；4.根据账号需求，调整内容策略和创意方向，确保项目按时完成并达到预期效果。任职要求：1.对无畏契约有浓厚兴趣（钻石以上），熟悉游戏视频内容制作。2.具备优秀的团队合作能力，能够与团队成员有效沟通。3.具有较强的学习能力和创新思维，能够适应不断变化的视频内容需求。4.有责任心，能够在紧张的工作环境中保持高效的工作状态。</v>
      </c>
      <c r="N129" s="7">
        <f t="shared" si="10"/>
        <v>0</v>
      </c>
      <c r="O129" s="7">
        <f t="shared" si="11"/>
        <v>0</v>
      </c>
    </row>
    <row r="130" spans="1:15">
      <c r="A130" s="7">
        <f t="shared" ref="A130:A193" si="12">COUNTIF(B:B,B130)</f>
        <v>5</v>
      </c>
      <c r="B130" s="7" t="s">
        <v>491</v>
      </c>
      <c r="C130" s="8" t="s">
        <v>492</v>
      </c>
      <c r="D130" s="7" t="s">
        <v>503</v>
      </c>
      <c r="E130" s="7">
        <v>1</v>
      </c>
      <c r="F130" s="7" t="s">
        <v>27</v>
      </c>
      <c r="G130" s="8" t="s">
        <v>504</v>
      </c>
      <c r="H130" s="7" t="s">
        <v>500</v>
      </c>
      <c r="I130" s="7" t="str">
        <f t="shared" si="9"/>
        <v>AI视频编导（学历：初中及以下 专业要求：无）</v>
      </c>
      <c r="J130" s="7">
        <f t="shared" ref="J130:J193" si="13">LEN(G130)</f>
        <v>128</v>
      </c>
      <c r="K130" s="7">
        <f>_xlfn.XLOOKUP(A130,长度要求!A:A,长度要求!E:E)</f>
        <v>500</v>
      </c>
      <c r="L130" s="7" t="str">
        <f t="shared" ref="L130:L193" si="14">IF(J130&lt;K130,G130,LEFT(G130,K130)&amp;"……")</f>
        <v>岗位职责:1.负责无畏契约AI视频内容的创意制作与编辑2.至少掌握2款以上的AI专业软件3.与团队合作，确保视频项目的顺利完成任职要求：1.具备出色的创意思维和良好的审美能力2.熟练掌握视频编辑软件及人工智能相关工具3.能够高效协作，具有良好的团队沟通能力</v>
      </c>
      <c r="N130" s="7">
        <f t="shared" si="10"/>
        <v>0</v>
      </c>
      <c r="O130" s="7">
        <f t="shared" si="11"/>
        <v>0</v>
      </c>
    </row>
    <row r="131" spans="1:15">
      <c r="A131" s="7">
        <f t="shared" si="12"/>
        <v>2</v>
      </c>
      <c r="B131" s="7" t="s">
        <v>505</v>
      </c>
      <c r="C131" s="8" t="s">
        <v>506</v>
      </c>
      <c r="D131" s="7" t="s">
        <v>507</v>
      </c>
      <c r="E131" s="7">
        <v>1</v>
      </c>
      <c r="F131" s="7" t="s">
        <v>18</v>
      </c>
      <c r="G131" s="8" t="s">
        <v>508</v>
      </c>
      <c r="H131" s="7" t="s">
        <v>70</v>
      </c>
      <c r="I131" s="7" t="str">
        <f t="shared" ref="I131:I194" si="15">_xlfn.CONCAT(D131,"（学历：",F131," 专业要求：",IF(ISBLANK(M131),"无",M131),"）")</f>
        <v>服装外贸业务助理（学历：大专 专业要求：纺织服装类）</v>
      </c>
      <c r="J131" s="7">
        <f t="shared" si="13"/>
        <v>183</v>
      </c>
      <c r="K131" s="7">
        <f>_xlfn.XLOOKUP(A131,长度要求!A:A,长度要求!E:E)</f>
        <v>500</v>
      </c>
      <c r="L131" s="7" t="str">
        <f t="shared" si="14"/>
        <v>服装外贸业务助理，综合薪水6-8K，欢迎推荐。岗位职责：1、协助外贸业务员做简单的订单跟进表及进度；2、协助外贸业务员跟踪内部生产、订单协调、货物跟踪等事项；3、协助外贸业务员对产品辅料的订购下单及付款事项4、上级交代的其他工作。5、英语cet4任职条件1、大专或以上学历，2、具备较强的学习能力，熟练Word、Excel等办公软件；3、做事沉稳，细心，有耐心，诚实</v>
      </c>
      <c r="M131" s="7" t="s">
        <v>509</v>
      </c>
      <c r="N131" s="7">
        <f t="shared" ref="N131:N194" si="16">LEN(M131)</f>
        <v>5</v>
      </c>
      <c r="O131" s="7">
        <f t="shared" ref="O131:O194" si="17">IF(ISBLANK(M131),0,COUNTA(_xlfn.TEXTSPLIT(M131,",")))</f>
        <v>1</v>
      </c>
    </row>
    <row r="132" spans="1:15">
      <c r="A132" s="7">
        <f t="shared" si="12"/>
        <v>2</v>
      </c>
      <c r="B132" s="7" t="s">
        <v>505</v>
      </c>
      <c r="C132" s="8" t="s">
        <v>506</v>
      </c>
      <c r="D132" s="7" t="s">
        <v>510</v>
      </c>
      <c r="E132" s="7">
        <v>1</v>
      </c>
      <c r="F132" s="7" t="s">
        <v>18</v>
      </c>
      <c r="G132" s="8" t="s">
        <v>511</v>
      </c>
      <c r="H132" s="7" t="s">
        <v>70</v>
      </c>
      <c r="I132" s="7" t="str">
        <f t="shared" si="15"/>
        <v>服装开发助理（学历：大专 专业要求：服装与服饰设计）</v>
      </c>
      <c r="J132" s="7">
        <f t="shared" si="13"/>
        <v>262</v>
      </c>
      <c r="K132" s="7">
        <f>_xlfn.XLOOKUP(A132,长度要求!A:A,长度要求!E:E)</f>
        <v>500</v>
      </c>
      <c r="L132" s="7" t="str">
        <f t="shared" si="14"/>
        <v>岗位要求：1.熟悉国内外各大服装流行网站,能够在各大服装网站上寻找畅销的女装爆版。2.眼光时尚敏锐，熟悉各季度的流行趋势。3.能够协助各部门跟单和开发组长做好全球客人的面辅料开发4.了解潮流时尚休闲服装产品结构,成本结构、工艺制作,了解面辅料特性及成分。5.能够看懂基本的英文资料任职资格：1.会简单的服装平拍挂拍拍摄2.会PPT制作以及PS.AI使用3.性格乐观外向，愿意并擅于与人沟通，有团队精神4.对女装有兴趣，懂得基本服装常识5.思维活跃,时尚触觉敏锐;6.工作积极，有开拓精神7.年龄24-30岁，可接受应届毕业生</v>
      </c>
      <c r="M132" s="7" t="s">
        <v>512</v>
      </c>
      <c r="N132" s="7">
        <f t="shared" si="16"/>
        <v>7</v>
      </c>
      <c r="O132" s="7">
        <f t="shared" si="17"/>
        <v>1</v>
      </c>
    </row>
    <row r="133" spans="1:15">
      <c r="A133" s="7">
        <f t="shared" si="12"/>
        <v>1</v>
      </c>
      <c r="B133" s="7" t="s">
        <v>513</v>
      </c>
      <c r="C133" s="8" t="s">
        <v>514</v>
      </c>
      <c r="D133" s="7" t="s">
        <v>515</v>
      </c>
      <c r="E133" s="7">
        <v>4</v>
      </c>
      <c r="F133" s="7" t="s">
        <v>192</v>
      </c>
      <c r="G133" s="8" t="s">
        <v>516</v>
      </c>
      <c r="H133" s="7" t="s">
        <v>406</v>
      </c>
      <c r="I133" s="7" t="str">
        <f t="shared" si="15"/>
        <v>保育员、育婴员（学历：本科 专业要求：无）</v>
      </c>
      <c r="J133" s="7">
        <f t="shared" si="13"/>
        <v>199</v>
      </c>
      <c r="K133" s="7">
        <f>_xlfn.XLOOKUP(A133,长度要求!A:A,长度要求!E:E)</f>
        <v>500</v>
      </c>
      <c r="L133" s="7" t="str">
        <f t="shared" si="14"/>
        <v>1.基本条件￼￼￼：热爱教育事业，遵纪守法，无违法犯罪记录，具有良好的品行和职业道德。身体健康，能正常履行工作职责。2.学历要求￼￼￼：大专及以上学历。3.资格证书￼￼￼：具备保育员或育婴员职业资格证书。4.专业要求：相关专业5.能力要求￼￼￼：熟悉婴幼儿托育相关知识和政策法规，掌握婴幼儿心理健康、卫生、营养、保健等知识，具备简单处理儿童突发疾病和意外事故的能力，有良好的沟通能力和团队协作精神。</v>
      </c>
      <c r="N133" s="7">
        <f t="shared" si="16"/>
        <v>0</v>
      </c>
      <c r="O133" s="7">
        <f t="shared" si="17"/>
        <v>0</v>
      </c>
    </row>
    <row r="134" spans="1:15">
      <c r="A134" s="7">
        <f t="shared" si="12"/>
        <v>1</v>
      </c>
      <c r="B134" s="7" t="s">
        <v>517</v>
      </c>
      <c r="C134" s="8" t="s">
        <v>518</v>
      </c>
      <c r="D134" s="7" t="s">
        <v>519</v>
      </c>
      <c r="E134" s="7">
        <v>1</v>
      </c>
      <c r="F134" s="7" t="s">
        <v>27</v>
      </c>
      <c r="G134" s="8" t="s">
        <v>520</v>
      </c>
      <c r="H134" s="7" t="s">
        <v>406</v>
      </c>
      <c r="I134" s="7" t="str">
        <f t="shared" si="15"/>
        <v>保育员/育婴师（学历：初中及以下 专业要求：学前教育）</v>
      </c>
      <c r="J134" s="7">
        <f t="shared" si="13"/>
        <v>158</v>
      </c>
      <c r="K134" s="7">
        <f>_xlfn.XLOOKUP(A134,长度要求!A:A,长度要求!E:E)</f>
        <v>500</v>
      </c>
      <c r="L134" s="7" t="str">
        <f t="shared" si="14"/>
        <v>岗位要求：1.具备良好的个人品德，无不良从业记录，热爱儿童，富有爱心、耐心、责任心。2.拥有较强的学习能力，能够快速理解并掌握婴幼儿照料流程、园区规章制度，积极配合师傅完成带教学习任务。3.实习期间需提供有效健康证明。工作内容：1.日常照料学习与实践2.活动协助与教育支持3.环境维护与卫生消毒4.安全管理与应急配合</v>
      </c>
      <c r="M134" s="7" t="s">
        <v>360</v>
      </c>
      <c r="N134" s="7">
        <f t="shared" si="16"/>
        <v>4</v>
      </c>
      <c r="O134" s="7">
        <f t="shared" si="17"/>
        <v>1</v>
      </c>
    </row>
    <row r="135" spans="1:15">
      <c r="A135" s="7">
        <f t="shared" si="12"/>
        <v>1</v>
      </c>
      <c r="B135" s="7" t="s">
        <v>521</v>
      </c>
      <c r="C135" s="8" t="s">
        <v>522</v>
      </c>
      <c r="D135" s="7" t="s">
        <v>523</v>
      </c>
      <c r="E135" s="7">
        <v>1</v>
      </c>
      <c r="F135" s="7" t="s">
        <v>18</v>
      </c>
      <c r="G135" s="8" t="s">
        <v>524</v>
      </c>
      <c r="H135" s="7" t="s">
        <v>104</v>
      </c>
      <c r="I135" s="7" t="str">
        <f t="shared" si="15"/>
        <v>幼儿园保育员（学历：大专 专业要求：学前教育）</v>
      </c>
      <c r="J135" s="7">
        <f t="shared" si="13"/>
        <v>61</v>
      </c>
      <c r="K135" s="7">
        <f>_xlfn.XLOOKUP(A135,长度要求!A:A,长度要求!E:E)</f>
        <v>500</v>
      </c>
      <c r="L135" s="7" t="str">
        <f t="shared" si="14"/>
        <v>1.热爱教育事业，有爱心、耐心、责任心，工作认真、细致。2.有保育员证书，年龄在35岁以内。3.有较好的理解能力和表达能力</v>
      </c>
      <c r="M135" s="7" t="s">
        <v>360</v>
      </c>
      <c r="N135" s="7">
        <f t="shared" si="16"/>
        <v>4</v>
      </c>
      <c r="O135" s="7">
        <f t="shared" si="17"/>
        <v>1</v>
      </c>
    </row>
    <row r="136" spans="1:15">
      <c r="A136" s="7">
        <f t="shared" si="12"/>
        <v>1</v>
      </c>
      <c r="B136" s="7" t="s">
        <v>525</v>
      </c>
      <c r="C136" s="8" t="s">
        <v>526</v>
      </c>
      <c r="D136" s="7" t="s">
        <v>527</v>
      </c>
      <c r="E136" s="7">
        <v>2</v>
      </c>
      <c r="F136" s="7" t="s">
        <v>27</v>
      </c>
      <c r="G136" s="8" t="s">
        <v>528</v>
      </c>
      <c r="H136" s="7" t="s">
        <v>41</v>
      </c>
      <c r="I136" s="7" t="str">
        <f t="shared" si="15"/>
        <v>商务经理（学历：初中及以下 专业要求：服装与服饰设计,服装设计与工程,服装设计与工艺,服装陈列与展示设计,皮革服装制作与工艺）</v>
      </c>
      <c r="J136" s="7">
        <f t="shared" si="13"/>
        <v>119</v>
      </c>
      <c r="K136" s="7">
        <f>_xlfn.XLOOKUP(A136,长度要求!A:A,长度要求!E:E)</f>
        <v>500</v>
      </c>
      <c r="L136" s="7" t="str">
        <f t="shared" si="14"/>
        <v>岗位职责：1、协助主管处理一切综合部的商务行政事务。2、负责内部合同的订立、变更、终止、审查、监督等工作。3、负责资料整理、归档、分析及总结、起草和管理文件，招投标、写标书、政府账号管理等。4、负责处理公司日常运行中的行政事务及后勤保障。</v>
      </c>
      <c r="M136" s="7" t="s">
        <v>529</v>
      </c>
      <c r="N136" s="7">
        <f t="shared" si="16"/>
        <v>43</v>
      </c>
      <c r="O136" s="7">
        <f t="shared" si="17"/>
        <v>5</v>
      </c>
    </row>
    <row r="137" spans="1:15">
      <c r="A137" s="7">
        <f t="shared" si="12"/>
        <v>3</v>
      </c>
      <c r="B137" s="7" t="s">
        <v>530</v>
      </c>
      <c r="C137" s="8" t="s">
        <v>531</v>
      </c>
      <c r="D137" s="7" t="s">
        <v>532</v>
      </c>
      <c r="E137" s="7">
        <v>8</v>
      </c>
      <c r="F137" s="7" t="s">
        <v>18</v>
      </c>
      <c r="G137" s="8" t="s">
        <v>533</v>
      </c>
      <c r="H137" s="7" t="s">
        <v>67</v>
      </c>
      <c r="I137" s="7" t="str">
        <f t="shared" si="15"/>
        <v>生产储备干部（学历：大专 专业要求：机械工程,自动化）</v>
      </c>
      <c r="J137" s="7">
        <f t="shared" si="13"/>
        <v>376</v>
      </c>
      <c r="K137" s="7">
        <f>_xlfn.XLOOKUP(A137,长度要求!A:A,长度要求!E:E)</f>
        <v>500</v>
      </c>
      <c r="L137" s="7" t="str">
        <f t="shared" si="14"/>
        <v>岗位职责：1、此岗位在生产线实际岗位上历练，通过实际生产作业岗位，学习到生产工艺、技术及品质要求，能够短时间内迅速上岗，并能独立应对生产作业相关问题；2、具备较强的学习能力、沟通协调能力；3、本岗位为公司长期发展而培养公司生产工程技术、一线管理、品质监管等岗位，平台好、发展潜力岗位。岗位要求：1、能吃苦耐劳，愿意从基层岗位踏实做2、全日制大专及以上学历（优秀应届生亦可），如“机械自动化、机电一体化专业、应用电子技术专业、信息工程、电子工程相关专业更佳；3、沟通表达能力强，心态阳光，团队协作意识强，有很强的执行力及责任心。晋升路径：路径一：管理路径：员工--主管--经理--总监专业路径：实习--初级--中级--高级--专家公司福利：餐费补贴、交通补贴、实习宿舍、员工食堂年终奖金、五险一金、带薪年假、周末双休团建旅游、社团活动、节日礼包、年度体检</v>
      </c>
      <c r="M137" s="7" t="s">
        <v>534</v>
      </c>
      <c r="N137" s="7">
        <f t="shared" si="16"/>
        <v>8</v>
      </c>
      <c r="O137" s="7">
        <f t="shared" si="17"/>
        <v>2</v>
      </c>
    </row>
    <row r="138" spans="1:15">
      <c r="A138" s="7">
        <f t="shared" si="12"/>
        <v>3</v>
      </c>
      <c r="B138" s="7" t="s">
        <v>530</v>
      </c>
      <c r="C138" s="8" t="s">
        <v>531</v>
      </c>
      <c r="D138" s="7" t="s">
        <v>443</v>
      </c>
      <c r="E138" s="7">
        <v>8</v>
      </c>
      <c r="F138" s="7" t="s">
        <v>18</v>
      </c>
      <c r="G138" s="8" t="s">
        <v>535</v>
      </c>
      <c r="H138" s="7" t="s">
        <v>67</v>
      </c>
      <c r="I138" s="7" t="str">
        <f t="shared" si="15"/>
        <v>储备技术员（学历：大专 专业要求：机械工程,自动化,电气工程及其自动化）</v>
      </c>
      <c r="J138" s="7">
        <f t="shared" si="13"/>
        <v>382</v>
      </c>
      <c r="K138" s="7">
        <f>_xlfn.XLOOKUP(A138,长度要求!A:A,长度要求!E:E)</f>
        <v>500</v>
      </c>
      <c r="L138" s="7" t="str">
        <f t="shared" si="14"/>
        <v>【工作内容】-负责协助技术团队完成设备调试、维护及日常运行管理工作；-参与生产流程优化和技术方案的实施，提升工作效率和产品质量；-协助进行技术资料的整理与归档，确保信息准确性和可追溯性；-配合团队完成项目任务，积极参与团队协作与沟通，推动项目顺利推进；-定期参与岗位培训与技能提升课程，不断提升自身专业能力与综合素质；-根据工作安排，完成上级交办的其他相关技术支持任务。【任职要求】-大专及以上学历，机械一体化相关专业；-有较强的责任心和团队意识，能够服从工作安排并积极融入团队；-无需相关工作经验，欢迎应届毕业生或具备潜力的求职者加入；晋升路径：路径一：管理路径：员工--主管--经理--总监专业路径：实习--初级--中级--高级--专家公司福利：餐费补贴、交通补贴、实习宿舍、员工食堂年终奖金、五险一金、带薪年假、周末双休团建旅游、社团活动、节日礼包、年度体检</v>
      </c>
      <c r="M138" s="7" t="s">
        <v>536</v>
      </c>
      <c r="N138" s="7">
        <f t="shared" si="16"/>
        <v>18</v>
      </c>
      <c r="O138" s="7">
        <f t="shared" si="17"/>
        <v>3</v>
      </c>
    </row>
    <row r="139" spans="1:15">
      <c r="A139" s="7">
        <f t="shared" si="12"/>
        <v>1</v>
      </c>
      <c r="B139" s="7" t="s">
        <v>537</v>
      </c>
      <c r="C139" s="8" t="s">
        <v>538</v>
      </c>
      <c r="D139" s="7" t="s">
        <v>39</v>
      </c>
      <c r="E139" s="7">
        <v>1</v>
      </c>
      <c r="F139" s="7" t="s">
        <v>27</v>
      </c>
      <c r="G139" s="8" t="s">
        <v>539</v>
      </c>
      <c r="H139" s="7" t="s">
        <v>406</v>
      </c>
      <c r="I139" s="7" t="str">
        <f t="shared" si="15"/>
        <v>保育员（学历：初中及以下 专业要求：无）</v>
      </c>
      <c r="J139" s="7">
        <f t="shared" si="13"/>
        <v>167</v>
      </c>
      <c r="K139" s="7">
        <f>_xlfn.XLOOKUP(A139,长度要求!A:A,长度要求!E:E)</f>
        <v>500</v>
      </c>
      <c r="L139" s="7" t="str">
        <f t="shared" si="14"/>
        <v>1.全面负责幼儿一日生活中的保育工作，确保幼儿身心健康和生命安全。2.在保健员指导下，严格执行幼儿园保育操作规范和安全、卫生保健制度。3.负责班级区域和包干区域的环境和设备清洁卫生消毒工作，保持室内外环境整洁。4.与教师共同管理幼儿生活，并配合本班教师组织教育活动。5.根据幼儿年龄特点，全面关注幼儿身心健康，做好特殊儿童的观察护理。</v>
      </c>
      <c r="N139" s="7">
        <f t="shared" si="16"/>
        <v>0</v>
      </c>
      <c r="O139" s="7">
        <f t="shared" si="17"/>
        <v>0</v>
      </c>
    </row>
    <row r="140" spans="1:15">
      <c r="A140" s="7">
        <f t="shared" si="12"/>
        <v>3</v>
      </c>
      <c r="B140" s="7" t="s">
        <v>530</v>
      </c>
      <c r="C140" s="8" t="s">
        <v>531</v>
      </c>
      <c r="D140" s="7" t="s">
        <v>540</v>
      </c>
      <c r="E140" s="7">
        <v>5</v>
      </c>
      <c r="F140" s="7" t="s">
        <v>18</v>
      </c>
      <c r="G140" s="8" t="s">
        <v>541</v>
      </c>
      <c r="H140" s="7" t="s">
        <v>67</v>
      </c>
      <c r="I140" s="7" t="str">
        <f t="shared" si="15"/>
        <v>技术管理储备生(研发方向)（学历：大专 专业要求：机械工程,自动化）</v>
      </c>
      <c r="J140" s="7">
        <f t="shared" si="13"/>
        <v>432</v>
      </c>
      <c r="K140" s="7">
        <f>_xlfn.XLOOKUP(A140,长度要求!A:A,长度要求!E:E)</f>
        <v>500</v>
      </c>
      <c r="L140" s="7" t="str">
        <f t="shared" si="14"/>
        <v>岗位职责：1、按要求完成各阶段培训，迅速融入企业文化，掌握必备知识技能；2、根据部门要求，在导师指导下，完成专业知识和技能的学习储备；3、积极参与部门具体业务工作，完成储备期间各个岗位的工作任务；4、负责研发过程中的异常问题汇总，反馈、处理等工作；5、负责对样品制作过程中的质量问题进行优化改进；6、有一定的团队管理能力，能积极主动帮助团队成长，并提出合理化建议；7、完成部门领导或导师交办的其他工作任务。任职要求：1、2026届应届毕业生，大专及以上学历，机械工程、自动化等相关专业优先；2、无需相关工作经验，欢迎应届毕业生或具备潜力的求职者加入；3、具有较强的团队合作能力和沟通意识，较强的抗压能力；4、拥有良好的学习能力和创新能力。晋升路径：路径一：管理路径：员工--主管--经理--总监专业路径：实习--初级--中级--高级--专家公司福利：餐费补贴、交通补贴、实习宿舍、员工食堂年终奖金、五险一金、带薪年假、周末双休团建旅游、社团活动、节日礼包、年度体检</v>
      </c>
      <c r="M140" s="7" t="s">
        <v>534</v>
      </c>
      <c r="N140" s="7">
        <f t="shared" si="16"/>
        <v>8</v>
      </c>
      <c r="O140" s="7">
        <f t="shared" si="17"/>
        <v>2</v>
      </c>
    </row>
    <row r="141" spans="1:15">
      <c r="A141" s="7">
        <f t="shared" si="12"/>
        <v>5</v>
      </c>
      <c r="B141" s="7" t="s">
        <v>276</v>
      </c>
      <c r="C141" s="8" t="s">
        <v>277</v>
      </c>
      <c r="D141" s="7" t="s">
        <v>542</v>
      </c>
      <c r="E141" s="7">
        <v>3</v>
      </c>
      <c r="F141" s="7" t="s">
        <v>27</v>
      </c>
      <c r="G141" s="8" t="s">
        <v>543</v>
      </c>
      <c r="H141" s="7" t="s">
        <v>544</v>
      </c>
      <c r="I141" s="7" t="str">
        <f t="shared" si="15"/>
        <v>高端家居销售顾问（学历：初中及以下 专业要求：家具设计与工程）</v>
      </c>
      <c r="J141" s="7">
        <f t="shared" si="13"/>
        <v>421</v>
      </c>
      <c r="K141" s="7">
        <f>_xlfn.XLOOKUP(A141,长度要求!A:A,长度要求!E:E)</f>
        <v>500</v>
      </c>
      <c r="L141" s="7" t="str">
        <f t="shared" si="14"/>
        <v>岗位职责：1、了解公司产品，包括产品各类信息（材质/规格/风格/定制方式等）；2、配合店面及设计产品团队，完善优化公司选品和丰富产品库建立的工作，具备敏锐的市场洞察力和设计专业眼光；3、为客户提供软装搭配方案，提供产品信息，促进订单的完成；4、按照公司销售服务标准为客户提供优质服务，提升品牌形象；5、了解客户对公司产品及各环节服务评价或期望并反馈给公司及上级，为提升客户消费体验提供改进方向；6、熟悉公司软装方案模板及方案库，为客户提供更多优质的设计搭配选择；7、具备良好的团队合作精神，有责任心，进取心；8、遵纪守法，有职业道德，并遵守公司各规章制度。任职要求：1、20岁以上，男女不限；2、工作细心，有激情，有耐心；3、有工作经验者优先。工作时间：做六休一，早上9:30-下午18:30；工作地点：上海市闵行区颛桥镇光华路158号（宝盖头家居）；福利待遇：五险一金，生日红包（蛋糕），团建活动，节日礼品，带薪年假，每日还可享受现磨咖啡。</v>
      </c>
      <c r="M141" s="7" t="s">
        <v>545</v>
      </c>
      <c r="N141" s="7">
        <f t="shared" si="16"/>
        <v>7</v>
      </c>
      <c r="O141" s="7">
        <f t="shared" si="17"/>
        <v>1</v>
      </c>
    </row>
    <row r="142" spans="1:15">
      <c r="A142" s="7">
        <f t="shared" si="12"/>
        <v>1</v>
      </c>
      <c r="B142" s="7" t="s">
        <v>546</v>
      </c>
      <c r="C142" s="8" t="s">
        <v>547</v>
      </c>
      <c r="D142" s="7" t="s">
        <v>548</v>
      </c>
      <c r="E142" s="7">
        <v>8</v>
      </c>
      <c r="F142" s="7" t="s">
        <v>549</v>
      </c>
      <c r="G142" s="8" t="s">
        <v>550</v>
      </c>
      <c r="H142" s="7" t="s">
        <v>551</v>
      </c>
      <c r="I142" s="7" t="str">
        <f t="shared" si="15"/>
        <v>实习技师（学历：高中 专业要求：汽车检测与维修技术,新能源汽车运用与维修,汽车车身维修技术）</v>
      </c>
      <c r="J142" s="7">
        <f t="shared" si="13"/>
        <v>61</v>
      </c>
      <c r="K142" s="7">
        <f>_xlfn.XLOOKUP(A142,长度要求!A:A,长度要求!E:E)</f>
        <v>500</v>
      </c>
      <c r="L142" s="7" t="str">
        <f t="shared" si="14"/>
        <v>实习技师—机修方向负责车辆的故障诊断、维修、保养、轮胎等工作实习技师—美容方向负责车辆的洗护、打蜡、镀金、贴膜、钣喷等工作</v>
      </c>
      <c r="M142" s="7" t="s">
        <v>552</v>
      </c>
      <c r="N142" s="7">
        <f t="shared" si="16"/>
        <v>29</v>
      </c>
      <c r="O142" s="7">
        <f t="shared" si="17"/>
        <v>3</v>
      </c>
    </row>
    <row r="143" spans="1:15">
      <c r="A143" s="7">
        <f t="shared" si="12"/>
        <v>2</v>
      </c>
      <c r="B143" s="7" t="s">
        <v>553</v>
      </c>
      <c r="C143" s="8" t="s">
        <v>554</v>
      </c>
      <c r="D143" s="7" t="s">
        <v>555</v>
      </c>
      <c r="E143" s="7">
        <v>2</v>
      </c>
      <c r="F143" s="7" t="s">
        <v>192</v>
      </c>
      <c r="G143" s="8" t="s">
        <v>556</v>
      </c>
      <c r="H143" s="7" t="s">
        <v>113</v>
      </c>
      <c r="I143" s="7" t="str">
        <f t="shared" si="15"/>
        <v>育婴员/保育员（学历：本科 专业要求：教育学）</v>
      </c>
      <c r="J143" s="7">
        <f t="shared" si="13"/>
        <v>225</v>
      </c>
      <c r="K143" s="7">
        <f>_xlfn.XLOOKUP(A143,长度要求!A:A,长度要求!E:E)</f>
        <v>500</v>
      </c>
      <c r="L143" s="7" t="str">
        <f t="shared" si="14"/>
        <v>1、认真贯彻执行中小学教师职业道德规范，积极履行《教师法》规定的各项义务。2、自觉遵守单位规章制度，认真完成幼儿园工作安排。3、熟悉各年龄段学习教材，制定可行的各类工作计划，撰写总结，协助整理教学资料的归档工作。4、积极参加各级展示课、公开课等教研活动，承担课题研究任务，注重经验交流、积累。5、参与班级管理工作，工作态度积极主动，有责任心，对幼儿有爱心和耐心、做好家园沟通工作。同时具有良好的沟通协调能力及团队合作精神。6、完成学校交予的其它任务。</v>
      </c>
      <c r="M143" s="7" t="s">
        <v>557</v>
      </c>
      <c r="N143" s="7">
        <f t="shared" si="16"/>
        <v>3</v>
      </c>
      <c r="O143" s="7">
        <f t="shared" si="17"/>
        <v>1</v>
      </c>
    </row>
    <row r="144" spans="1:15">
      <c r="A144" s="7">
        <f t="shared" si="12"/>
        <v>3</v>
      </c>
      <c r="B144" s="7" t="s">
        <v>558</v>
      </c>
      <c r="C144" s="8" t="s">
        <v>559</v>
      </c>
      <c r="D144" s="7" t="s">
        <v>560</v>
      </c>
      <c r="E144" s="7">
        <v>2</v>
      </c>
      <c r="F144" s="7" t="s">
        <v>27</v>
      </c>
      <c r="G144" s="8" t="s">
        <v>561</v>
      </c>
      <c r="H144" s="7" t="s">
        <v>385</v>
      </c>
      <c r="I144" s="7" t="str">
        <f t="shared" si="15"/>
        <v>分公司体育中心前台（学历：初中及以下 专业要求：无）</v>
      </c>
      <c r="J144" s="7">
        <f t="shared" si="13"/>
        <v>283</v>
      </c>
      <c r="K144" s="7">
        <f>_xlfn.XLOOKUP(A144,长度要求!A:A,长度要求!E:E)</f>
        <v>500</v>
      </c>
      <c r="L144" s="7" t="str">
        <f t="shared" si="14"/>
        <v>岗位职责:1.负责体育馆前台的日常行政事务，确保入场流程顺畅。2.组织和准备公司内部会议所需资料，保证会议前准备充分。3.处理公司内外的通信事务，包括报纸送递、信件分发等。4.负责员工的考勤管理，包括考勤录入及门禁控制。5.维护前台区域的卫生，确保环境整洁。任职要求：1.具备良好的沟通能力和服务意识，能够有效处理客户咨询和需求。2.熟练掌握办公软件的使用，能够高效完成工作任务。3.具有较强的组织能力和责任心，能够独立处理和解决问题。4.具备良好的团队合作精神，能够与团队成员有效沟通。5.对工作细心认真，能够在快节奏环境中保持积极态度。福利待遇：公司提供包吃住！</v>
      </c>
      <c r="N144" s="7">
        <f t="shared" si="16"/>
        <v>0</v>
      </c>
      <c r="O144" s="7">
        <f t="shared" si="17"/>
        <v>0</v>
      </c>
    </row>
    <row r="145" spans="1:15">
      <c r="A145" s="7">
        <f t="shared" si="12"/>
        <v>3</v>
      </c>
      <c r="B145" s="7" t="s">
        <v>558</v>
      </c>
      <c r="C145" s="8" t="s">
        <v>559</v>
      </c>
      <c r="D145" s="7" t="s">
        <v>562</v>
      </c>
      <c r="E145" s="7">
        <v>3</v>
      </c>
      <c r="F145" s="7" t="s">
        <v>27</v>
      </c>
      <c r="G145" s="8" t="s">
        <v>563</v>
      </c>
      <c r="H145" s="7" t="s">
        <v>385</v>
      </c>
      <c r="I145" s="7" t="str">
        <f t="shared" si="15"/>
        <v>售前售后技术支持人员（学历：初中及以下 专业要求：无）</v>
      </c>
      <c r="J145" s="7">
        <f t="shared" si="13"/>
        <v>341</v>
      </c>
      <c r="K145" s="7">
        <f>_xlfn.XLOOKUP(A145,长度要求!A:A,长度要求!E:E)</f>
        <v>500</v>
      </c>
      <c r="L145" s="7" t="str">
        <f t="shared" si="14"/>
        <v>岗位职责：一、职位描述：1、熟悉掌握公司产品，为产品做售前讲解，功能演示等技术支撑工作；2、协助销售针对售前客户提出的疑问进行解答；3、吃苦耐劳，愿意接受新事物。二、岗位要求：1、有销售相关经验者优先；2、能接触并尝试新事物者优先，良好的团队协调能力，良好的沟通能力与执行力；3、熟练使用计算机，熟练office等常用办公软件，ps，pr软件者优先；4、思维活跃、有逻辑性，有良好的语言表达及沟通能力；5、会开车，有驾驶执照优先；（不会也没关系）三、公司福利：1、公司提供免费员工公寓，表现优异者可升级为单人公寓；公司提供一日三餐；2、公司环境优美，绿植丰富，生活便利。公司园区内有无人超市，羽毛球馆、网球场、台球、乒乓球、健身房、书吧等；3、朝阳行业，晋升方向多元化，晋升空间大。</v>
      </c>
      <c r="N145" s="7">
        <f t="shared" si="16"/>
        <v>0</v>
      </c>
      <c r="O145" s="7">
        <f t="shared" si="17"/>
        <v>0</v>
      </c>
    </row>
    <row r="146" spans="1:15">
      <c r="A146" s="7">
        <f t="shared" si="12"/>
        <v>1</v>
      </c>
      <c r="B146" s="7" t="s">
        <v>564</v>
      </c>
      <c r="C146" s="8" t="s">
        <v>565</v>
      </c>
      <c r="D146" s="7" t="s">
        <v>566</v>
      </c>
      <c r="E146" s="7">
        <v>6</v>
      </c>
      <c r="F146" s="7" t="s">
        <v>18</v>
      </c>
      <c r="G146" s="8" t="s">
        <v>567</v>
      </c>
      <c r="H146" s="7" t="s">
        <v>104</v>
      </c>
      <c r="I146" s="7" t="str">
        <f t="shared" si="15"/>
        <v>工程造价员/预算员（学历：大专 专业要求：无）</v>
      </c>
      <c r="J146" s="7">
        <f t="shared" si="13"/>
        <v>224</v>
      </c>
      <c r="K146" s="7">
        <f>_xlfn.XLOOKUP(A146,长度要求!A:A,长度要求!E:E)</f>
        <v>500</v>
      </c>
      <c r="L146" s="7" t="str">
        <f t="shared" si="14"/>
        <v>岗位职责：1、造价专业方面工作，具有沟通及对外接洽能力；2、编制清单、审核工程量预决算、现场签证变更等；3、掌握并熟悉定额、取费标准的组成和计算方法；4、能完成造价专业招标文件、回标分析报告编制等。任职要求：1、土木工程、机电安装、工程造价/管理等相关专业大专及以上学历，能熟练使用CAD、广联达等相关软件；2、1年以上造价咨询企业、施工单位、房地产企业相关部门工作经验；3、具有沟通、理解、应变能力，能够准确把握业主要求，善于协调各项目各方关系。</v>
      </c>
      <c r="N146" s="7">
        <f t="shared" si="16"/>
        <v>0</v>
      </c>
      <c r="O146" s="7">
        <f t="shared" si="17"/>
        <v>0</v>
      </c>
    </row>
    <row r="147" spans="1:15">
      <c r="A147" s="7">
        <f t="shared" si="12"/>
        <v>1</v>
      </c>
      <c r="B147" s="7" t="s">
        <v>568</v>
      </c>
      <c r="C147" s="8" t="s">
        <v>569</v>
      </c>
      <c r="D147" s="7" t="s">
        <v>570</v>
      </c>
      <c r="E147" s="7">
        <v>15</v>
      </c>
      <c r="F147" s="7" t="s">
        <v>18</v>
      </c>
      <c r="G147" s="8" t="s">
        <v>571</v>
      </c>
      <c r="H147" s="7" t="s">
        <v>480</v>
      </c>
      <c r="I147" s="7" t="str">
        <f t="shared" si="15"/>
        <v>手机测试岗位（学历：大专 专业要求：计算机类）</v>
      </c>
      <c r="J147" s="7">
        <f t="shared" si="13"/>
        <v>312</v>
      </c>
      <c r="K147" s="7">
        <f>_xlfn.XLOOKUP(A147,长度要求!A:A,长度要求!E:E)</f>
        <v>500</v>
      </c>
      <c r="L147" s="7" t="str">
        <f t="shared" si="14"/>
        <v>完成手机模块测试，包含3个模块，根据面试安排会其中1个岗位方向。1、三方兼容：应用市场TOPAPP与小米手机的兼容性测试。2、设备兼容：主流蓝牙耳机、车载、有限耳机、OTG、SD卡与小米手机的兼容性测试。3、升级维护：手机整机软件测试，如系统应用、多媒体、短距、性能、功耗、通讯、显示、相机等。*周末双休，需适应项目工作强度。薪资待遇1、实习薪资：大专2800元/月，本科3000元/月，岗前带薪培训，培训预计3-5天，测试业务知识2、提供转正：按实习考核5000~8000；2、食宿自理，参考自如，费用参考800-1000/月(可以选择1-2个人一间）；3、公司统一购买实习生保险，实习期间确定可以转正的人可以签三方协议。</v>
      </c>
      <c r="M147" s="7" t="s">
        <v>572</v>
      </c>
      <c r="N147" s="7">
        <f t="shared" si="16"/>
        <v>4</v>
      </c>
      <c r="O147" s="7">
        <f t="shared" si="17"/>
        <v>1</v>
      </c>
    </row>
    <row r="148" spans="1:15">
      <c r="A148" s="7">
        <f t="shared" si="12"/>
        <v>1</v>
      </c>
      <c r="B148" s="7" t="s">
        <v>573</v>
      </c>
      <c r="C148" s="8" t="s">
        <v>574</v>
      </c>
      <c r="D148" s="7" t="s">
        <v>39</v>
      </c>
      <c r="E148" s="7">
        <v>1</v>
      </c>
      <c r="F148" s="7" t="s">
        <v>27</v>
      </c>
      <c r="G148" s="8" t="s">
        <v>575</v>
      </c>
      <c r="H148" s="7" t="s">
        <v>113</v>
      </c>
      <c r="I148" s="7" t="str">
        <f t="shared" si="15"/>
        <v>保育员（学历：初中及以下 专业要求：学前教育）</v>
      </c>
      <c r="J148" s="7">
        <f t="shared" si="13"/>
        <v>26</v>
      </c>
      <c r="K148" s="7">
        <f>_xlfn.XLOOKUP(A148,长度要求!A:A,长度要求!E:E)</f>
        <v>500</v>
      </c>
      <c r="L148" s="7" t="str">
        <f t="shared" si="14"/>
        <v>主要负责2-6岁幼儿的生活照料、安全保障和教育配合。</v>
      </c>
      <c r="M148" s="7" t="s">
        <v>360</v>
      </c>
      <c r="N148" s="7">
        <f t="shared" si="16"/>
        <v>4</v>
      </c>
      <c r="O148" s="7">
        <f t="shared" si="17"/>
        <v>1</v>
      </c>
    </row>
    <row r="149" spans="1:15">
      <c r="A149" s="7">
        <f t="shared" si="12"/>
        <v>1</v>
      </c>
      <c r="B149" s="7" t="s">
        <v>576</v>
      </c>
      <c r="C149" s="8" t="s">
        <v>577</v>
      </c>
      <c r="D149" s="7" t="s">
        <v>578</v>
      </c>
      <c r="E149" s="7">
        <v>6</v>
      </c>
      <c r="F149" s="7" t="s">
        <v>18</v>
      </c>
      <c r="G149" s="8" t="s">
        <v>579</v>
      </c>
      <c r="H149" s="7" t="s">
        <v>551</v>
      </c>
      <c r="I149" s="7" t="str">
        <f t="shared" si="15"/>
        <v>机电设备运维工程师（学历：大专 专业要求：建筑智能化工程技术,建筑类,供热通风与空调工程技术,建筑设备工程技术,建筑电气工程技术,建筑工程技术）</v>
      </c>
      <c r="J149" s="7">
        <f t="shared" si="13"/>
        <v>321</v>
      </c>
      <c r="K149" s="7">
        <f>_xlfn.XLOOKUP(A149,长度要求!A:A,长度要求!E:E)</f>
        <v>500</v>
      </c>
      <c r="L149" s="7" t="str">
        <f t="shared" si="14"/>
        <v>1.掌握机电（含暖通、空调等）等相关设备的工作原理、具备公用设备工程安装、验收、检维修相关知识；2.具有相应工种独立操作能力，熟悉VRV空调设备，一专多能，会维修（大金/日立/麦克维尔等）多种品牌的空调热泵机组；3.熟悉建筑行业的设备设计、安装、维护的各种规范、标准及流程；4.精通暖通、给水排水、动力设备的选型、安装、调试和维护管理等；任职要求：1、具备专业的基本理论知识，了解相关专业知识（如空调等），熟练运用Office等计算机软件系统；2、给排水、机电一体化等相关专业3、具备良好的团队合作能力、沟通协调能力，分析和解决问题的能力；4、爱岗敬业、廉洁自律、正直善良、富有创新精神，能适应不定期出差。5、可常驻项目现场，项目地点公司分配</v>
      </c>
      <c r="M149" s="7" t="s">
        <v>580</v>
      </c>
      <c r="N149" s="7">
        <f t="shared" si="16"/>
        <v>50</v>
      </c>
      <c r="O149" s="7">
        <f t="shared" si="17"/>
        <v>6</v>
      </c>
    </row>
    <row r="150" spans="1:15">
      <c r="A150" s="7">
        <f t="shared" si="12"/>
        <v>1</v>
      </c>
      <c r="B150" s="7" t="s">
        <v>581</v>
      </c>
      <c r="C150" s="8" t="s">
        <v>582</v>
      </c>
      <c r="D150" s="7" t="s">
        <v>39</v>
      </c>
      <c r="E150" s="7">
        <v>1</v>
      </c>
      <c r="F150" s="7" t="s">
        <v>27</v>
      </c>
      <c r="G150" s="8" t="s">
        <v>583</v>
      </c>
      <c r="H150" s="7" t="s">
        <v>406</v>
      </c>
      <c r="I150" s="7" t="str">
        <f t="shared" si="15"/>
        <v>保育员（学历：初中及以下 专业要求：无）</v>
      </c>
      <c r="J150" s="7">
        <f t="shared" si="13"/>
        <v>198</v>
      </c>
      <c r="K150" s="7">
        <f>_xlfn.XLOOKUP(A150,长度要求!A:A,长度要求!E:E)</f>
        <v>500</v>
      </c>
      <c r="L150" s="7" t="str">
        <f t="shared" si="14"/>
        <v>岗位：保育员岗位职责：1.负责幼儿的日常生活照料，包括协助幼儿进餐、饮水、午睡、盥洗、如厕等。2.配合班级教师开展各类活动，并在活动中做好生活、安全保障工作。3.维护班级环境卫生，定期清洁消毒。4.其他协助配合工作。任职要求：1.身体健康，持有有效健康证明；2.爱孩子，有耐心、爱心、责任心，能细心照顾幼儿的生活与情绪。3.具备良好的沟通能力与团队协作意识，能积极配合老师、保健老师完成相关工作。</v>
      </c>
      <c r="N150" s="7">
        <f t="shared" si="16"/>
        <v>0</v>
      </c>
      <c r="O150" s="7">
        <f t="shared" si="17"/>
        <v>0</v>
      </c>
    </row>
    <row r="151" spans="1:15">
      <c r="A151" s="7">
        <f t="shared" si="12"/>
        <v>3</v>
      </c>
      <c r="B151" s="7" t="s">
        <v>584</v>
      </c>
      <c r="C151" s="8" t="s">
        <v>585</v>
      </c>
      <c r="D151" s="7" t="s">
        <v>586</v>
      </c>
      <c r="E151" s="7">
        <v>5</v>
      </c>
      <c r="F151" s="7" t="s">
        <v>18</v>
      </c>
      <c r="G151" s="8" t="s">
        <v>587</v>
      </c>
      <c r="H151" s="7" t="s">
        <v>588</v>
      </c>
      <c r="I151" s="7" t="str">
        <f t="shared" si="15"/>
        <v>安装调试工程师（学历：大专 专业要求：自动化,机电一体化技术,工业机器人技术,工业智能）</v>
      </c>
      <c r="J151" s="7">
        <f t="shared" si="13"/>
        <v>233</v>
      </c>
      <c r="K151" s="7">
        <f>_xlfn.XLOOKUP(A151,长度要求!A:A,长度要求!E:E)</f>
        <v>500</v>
      </c>
      <c r="L151" s="7" t="str">
        <f t="shared" si="14"/>
        <v>岗位职责：1、工业自动化设备、仪器的装配，调试，维护技术支持、售前与售后服务；2、设备/系统的现场安装、调试、验收以及客户培训；3、能读懂机械设计图纸、电气接线图、组装图；4、具有扎实的电工基础知识，适应出差，团队协作精神强，沟通能力强；5、较强的独立分析问题和解决问题的能力；4、了解电气控制及PLC基础知识。任职要求：1、有电工证，持有C照或以上驾驶证者优先；2、专业：电气自动化、机电一体化、智能机电、工业机器人等。薪资构成：基本工资+绩效工资+项目奖+年终奖</v>
      </c>
      <c r="M151" s="7" t="s">
        <v>589</v>
      </c>
      <c r="N151" s="7">
        <f t="shared" si="16"/>
        <v>24</v>
      </c>
      <c r="O151" s="7">
        <f t="shared" si="17"/>
        <v>4</v>
      </c>
    </row>
    <row r="152" spans="1:15">
      <c r="A152" s="7">
        <f t="shared" si="12"/>
        <v>3</v>
      </c>
      <c r="B152" s="7" t="s">
        <v>584</v>
      </c>
      <c r="C152" s="8" t="s">
        <v>585</v>
      </c>
      <c r="D152" s="7" t="s">
        <v>590</v>
      </c>
      <c r="E152" s="7">
        <v>10</v>
      </c>
      <c r="F152" s="7" t="s">
        <v>18</v>
      </c>
      <c r="G152" s="8" t="s">
        <v>591</v>
      </c>
      <c r="H152" s="7" t="s">
        <v>20</v>
      </c>
      <c r="I152" s="7" t="str">
        <f t="shared" si="15"/>
        <v>装配技术员（学历：大专 专业要求：自动化,机电一体化技术,工业机器人技术,工业智能）</v>
      </c>
      <c r="J152" s="7">
        <f t="shared" si="13"/>
        <v>178</v>
      </c>
      <c r="K152" s="7">
        <f>_xlfn.XLOOKUP(A152,长度要求!A:A,长度要求!E:E)</f>
        <v>500</v>
      </c>
      <c r="L152" s="7" t="str">
        <f t="shared" si="14"/>
        <v>岗位职责1、工业自动化设备的电气装配（PLC、继电器、断路器等电气部件）设备的现场安装；2、能读懂电气接线图、组装图，接线板电气柜接线；3、自动化分析仪器的模块的安装及管路系统的连接装配。任职要求：1.自动化、机电、工业机器人专业等优先2.能看懂图纸，具备较强的动手能力能，熟练使用常规的电气接线工具。薪资构成：基本工资+加班工资+项目奖+年终奖应届生亦可</v>
      </c>
      <c r="M152" s="7" t="s">
        <v>589</v>
      </c>
      <c r="N152" s="7">
        <f t="shared" si="16"/>
        <v>24</v>
      </c>
      <c r="O152" s="7">
        <f t="shared" si="17"/>
        <v>4</v>
      </c>
    </row>
    <row r="153" spans="1:15">
      <c r="A153" s="7">
        <f t="shared" si="12"/>
        <v>3</v>
      </c>
      <c r="B153" s="7" t="s">
        <v>584</v>
      </c>
      <c r="C153" s="8" t="s">
        <v>585</v>
      </c>
      <c r="D153" s="7" t="s">
        <v>592</v>
      </c>
      <c r="E153" s="7">
        <v>10</v>
      </c>
      <c r="F153" s="7" t="s">
        <v>18</v>
      </c>
      <c r="G153" s="8" t="s">
        <v>593</v>
      </c>
      <c r="H153" s="7" t="s">
        <v>20</v>
      </c>
      <c r="I153" s="7" t="str">
        <f t="shared" si="15"/>
        <v>管培生（学历：大专 专业要求：电气工程及其自动化,机电一体化技术,工业机器人技术,智能制造技术）</v>
      </c>
      <c r="J153" s="7">
        <f t="shared" si="13"/>
        <v>235</v>
      </c>
      <c r="K153" s="7">
        <f>_xlfn.XLOOKUP(A153,长度要求!A:A,长度要求!E:E)</f>
        <v>500</v>
      </c>
      <c r="L153" s="7" t="str">
        <f t="shared" si="14"/>
        <v>岗位职责：1、工业自动化设备、仪器的装配，调试，维护技术支持；2、设备的安装、调试、验收以及客户培训；3、能读懂电气接线图、组装图；4、具有扎实的电工基础知识，适应出差；任职要求：1、有电工证者优先；2、专业：电气自动化，机电一体化，工业机器人等；3、了解电气控制及PLC基础知识优先；4、实习生和应届生亦可。薪酬福利：1、一对一的带教、系统化的业务知识培训；2、完善的职业发展规划；技术方向：初级工程师—中级工程师—高级工程师管理方向：组长—主管助理—主管—经理—总监</v>
      </c>
      <c r="M153" s="7" t="s">
        <v>594</v>
      </c>
      <c r="N153" s="7">
        <f t="shared" si="16"/>
        <v>32</v>
      </c>
      <c r="O153" s="7">
        <f t="shared" si="17"/>
        <v>4</v>
      </c>
    </row>
    <row r="154" spans="1:15">
      <c r="A154" s="7">
        <f t="shared" si="12"/>
        <v>4</v>
      </c>
      <c r="B154" s="7" t="s">
        <v>327</v>
      </c>
      <c r="C154" s="8" t="s">
        <v>328</v>
      </c>
      <c r="D154" s="7" t="s">
        <v>595</v>
      </c>
      <c r="E154" s="7">
        <v>3</v>
      </c>
      <c r="F154" s="7" t="s">
        <v>192</v>
      </c>
      <c r="G154" s="8" t="s">
        <v>596</v>
      </c>
      <c r="H154" s="7" t="s">
        <v>97</v>
      </c>
      <c r="I154" s="7" t="str">
        <f t="shared" si="15"/>
        <v>职能类管培生（学历：本科 专业要求：会计学,财务会计类,统计与会计核算,会计信息管理,会计,财务会计教育）</v>
      </c>
      <c r="J154" s="7">
        <f t="shared" si="13"/>
        <v>141</v>
      </c>
      <c r="K154" s="7">
        <f>_xlfn.XLOOKUP(A154,长度要求!A:A,长度要求!E:E)</f>
        <v>500</v>
      </c>
      <c r="L154" s="7" t="str">
        <f t="shared" si="14"/>
        <v>该岗位方向为财务岗、人力资源岗，要求会计学或财务管理、人力资源管理等专业，要求每周至少3天全天出勤任职资格：1、全日制本科以上学历，会计学或财务管理、人力资源管理等专业毕业优先；2、有上进心、清晰目标；3、熟悉操作财务软件、Excel、Word等办公软件；4、工作细致认真，态度端正</v>
      </c>
      <c r="M154" s="7" t="s">
        <v>597</v>
      </c>
      <c r="N154" s="7">
        <f t="shared" si="16"/>
        <v>34</v>
      </c>
      <c r="O154" s="7">
        <f t="shared" si="17"/>
        <v>6</v>
      </c>
    </row>
    <row r="155" spans="1:15">
      <c r="A155" s="7">
        <f t="shared" si="12"/>
        <v>5</v>
      </c>
      <c r="B155" s="7" t="s">
        <v>598</v>
      </c>
      <c r="C155" s="8" t="s">
        <v>599</v>
      </c>
      <c r="D155" s="7" t="s">
        <v>600</v>
      </c>
      <c r="E155" s="7">
        <v>5</v>
      </c>
      <c r="F155" s="7" t="s">
        <v>192</v>
      </c>
      <c r="G155" s="8" t="s">
        <v>601</v>
      </c>
      <c r="H155" s="7" t="s">
        <v>316</v>
      </c>
      <c r="I155" s="7" t="str">
        <f t="shared" si="15"/>
        <v>市场专员（学历：本科 专业要求：生物科学,生物工程,生物技术,微生物学）</v>
      </c>
      <c r="J155" s="7">
        <f t="shared" si="13"/>
        <v>134</v>
      </c>
      <c r="K155" s="7">
        <f>_xlfn.XLOOKUP(A155,长度要求!A:A,长度要求!E:E)</f>
        <v>500</v>
      </c>
      <c r="L155" s="7" t="str">
        <f t="shared" si="14"/>
        <v>岗位工作内容：1、协助上级完成营销策略制订2、合作商管理与流程规范3、大客户的维护，定期电话邮件沟通，必要时进行拜访工作4、少量文献翻译工作任职条件：1、教育背景：生物、医药，食品等相关专业本科以上学历。2、大学英语六级3、实习期能保证一周至少出勤三天，提供转正机会。</v>
      </c>
      <c r="M155" s="7" t="s">
        <v>602</v>
      </c>
      <c r="N155" s="7">
        <f t="shared" si="16"/>
        <v>19</v>
      </c>
      <c r="O155" s="7">
        <f t="shared" si="17"/>
        <v>4</v>
      </c>
    </row>
    <row r="156" spans="1:15">
      <c r="A156" s="7">
        <f t="shared" si="12"/>
        <v>3</v>
      </c>
      <c r="B156" s="7" t="s">
        <v>603</v>
      </c>
      <c r="C156" s="8" t="s">
        <v>604</v>
      </c>
      <c r="D156" s="7" t="s">
        <v>605</v>
      </c>
      <c r="E156" s="7">
        <v>5</v>
      </c>
      <c r="F156" s="7" t="s">
        <v>18</v>
      </c>
      <c r="G156" s="8" t="s">
        <v>606</v>
      </c>
      <c r="H156" s="7" t="s">
        <v>280</v>
      </c>
      <c r="I156" s="7" t="str">
        <f t="shared" si="15"/>
        <v>检验员（学历：大专 专业要求：无）</v>
      </c>
      <c r="J156" s="7">
        <f t="shared" si="13"/>
        <v>115</v>
      </c>
      <c r="K156" s="7">
        <f>_xlfn.XLOOKUP(A156,长度要求!A:A,长度要求!E:E)</f>
        <v>500</v>
      </c>
      <c r="L156" s="7" t="str">
        <f t="shared" si="14"/>
        <v>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技能等级证书优先考虑</v>
      </c>
      <c r="N156" s="7">
        <f t="shared" si="16"/>
        <v>0</v>
      </c>
      <c r="O156" s="7">
        <f t="shared" si="17"/>
        <v>0</v>
      </c>
    </row>
    <row r="157" spans="1:15">
      <c r="A157" s="7">
        <f t="shared" si="12"/>
        <v>3</v>
      </c>
      <c r="B157" s="7" t="s">
        <v>603</v>
      </c>
      <c r="C157" s="8" t="s">
        <v>604</v>
      </c>
      <c r="D157" s="7" t="s">
        <v>607</v>
      </c>
      <c r="E157" s="7">
        <v>10</v>
      </c>
      <c r="F157" s="7" t="s">
        <v>18</v>
      </c>
      <c r="G157" s="8" t="s">
        <v>608</v>
      </c>
      <c r="H157" s="7" t="s">
        <v>67</v>
      </c>
      <c r="I157" s="7" t="str">
        <f t="shared" si="15"/>
        <v>技能实习生（学历：大专 专业要求：无）</v>
      </c>
      <c r="J157" s="7">
        <f t="shared" si="13"/>
        <v>128</v>
      </c>
      <c r="K157" s="7">
        <f>_xlfn.XLOOKUP(A157,长度要求!A:A,长度要求!E:E)</f>
        <v>500</v>
      </c>
      <c r="L157" s="7" t="str">
        <f t="shared" si="14"/>
        <v>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实验室工作经验，能独立使用电子万能试验机者优先</v>
      </c>
      <c r="N157" s="7">
        <f t="shared" si="16"/>
        <v>0</v>
      </c>
      <c r="O157" s="7">
        <f t="shared" si="17"/>
        <v>0</v>
      </c>
    </row>
    <row r="158" spans="1:15">
      <c r="A158" s="7">
        <f t="shared" si="12"/>
        <v>7</v>
      </c>
      <c r="B158" s="7" t="s">
        <v>73</v>
      </c>
      <c r="C158" s="8" t="s">
        <v>74</v>
      </c>
      <c r="D158" s="7" t="s">
        <v>609</v>
      </c>
      <c r="E158" s="7">
        <v>5</v>
      </c>
      <c r="F158" s="7" t="s">
        <v>18</v>
      </c>
      <c r="G158" s="8" t="s">
        <v>610</v>
      </c>
      <c r="H158" s="7" t="s">
        <v>77</v>
      </c>
      <c r="I158" s="7" t="str">
        <f t="shared" si="15"/>
        <v>咖啡师（学历：大专 专业要求：无）</v>
      </c>
      <c r="J158" s="7">
        <f t="shared" si="13"/>
        <v>265</v>
      </c>
      <c r="K158" s="7">
        <f>_xlfn.XLOOKUP(A158,长度要求!A:A,长度要求!E:E)</f>
        <v>500</v>
      </c>
      <c r="L158" s="7" t="str">
        <f t="shared" si="14"/>
        <v>要求：（1）对咖啡制作充满热情，有活力，对生活充满激情，不怕吃苦，正直诚信。（2）具有团队合作精神和一定的协调能力，服务意识强。（3）接受能力强、灵活敏捷，具有创新精神。（4）有良好沟通能力。（5）需要对咖啡文化有深入了解，熟悉咖啡机和其他咖啡制作工具的操作，能够制作和提供高品质的咖啡和饮品。沟通能力和服务意识。薪资待遇：5000-6000元/月其他福利：早中餐、高温费、年终奖、大礼包等实习生3000元+500元全勤奖，国企，提供完善的培训，实习表现优秀者毕业后优先录用。录用后缴纳四金，提供年终奖、高温费、大礼包，详情面谈。</v>
      </c>
      <c r="N158" s="7">
        <f t="shared" si="16"/>
        <v>0</v>
      </c>
      <c r="O158" s="7">
        <f t="shared" si="17"/>
        <v>0</v>
      </c>
    </row>
    <row r="159" spans="1:15">
      <c r="A159" s="7">
        <f t="shared" si="12"/>
        <v>3</v>
      </c>
      <c r="B159" s="7" t="s">
        <v>603</v>
      </c>
      <c r="C159" s="8" t="s">
        <v>604</v>
      </c>
      <c r="D159" s="7" t="s">
        <v>611</v>
      </c>
      <c r="E159" s="7">
        <v>10</v>
      </c>
      <c r="F159" s="7" t="s">
        <v>425</v>
      </c>
      <c r="G159" s="8" t="s">
        <v>612</v>
      </c>
      <c r="H159" s="7" t="s">
        <v>246</v>
      </c>
      <c r="I159" s="7" t="str">
        <f t="shared" si="15"/>
        <v>工艺员（学历：硕士 专业要求：材料科学与工程,复合材料与工程,材料学,纺织材料与纺织品设计,高分子材料工程技术,机械设计制造及其自动化,一般力学与力学基础,工程力学）</v>
      </c>
      <c r="J159" s="7">
        <f t="shared" si="13"/>
        <v>351</v>
      </c>
      <c r="K159" s="7">
        <f>_xlfn.XLOOKUP(A159,长度要求!A:A,长度要求!E:E)</f>
        <v>500</v>
      </c>
      <c r="L159" s="7" t="str">
        <f t="shared" si="14"/>
        <v>工作职责：1、负责碳纤维复合材料零件的成型工艺技术、复合材料的机械加工技术及复合材料部组件的胶接装配工艺技术的研发和现场调试工作（工艺参数的开发、操作规范编制、产品胶接装配工艺）；2、参与新技术、新工艺、工艺改进等课题研究、试验验证、总结工作（工艺改进项目立项、开展试验、项目总结）；3、协助参与复合材料部组件胶接装配所需要的模具和工装、检具的设计开发；4、按照上级设计输入和公司技术标准开展工作，完成上级交办的其它工作。任职资格：1、机械类专业、复合材料类专业、材料类等专业硕士及以上学历；2、了解复合材料成型工艺、结构件加工工艺；3、具有读图和绘图能力，熟练运用Proe、CAD等绘图软件；4、具备技术文件编写能力，能熟练使用计算机办公软件；5、善于团队合作，协调沟通能力强、工作有耐心、有责任感。</v>
      </c>
      <c r="M159" s="7" t="s">
        <v>613</v>
      </c>
      <c r="N159" s="7">
        <f t="shared" si="16"/>
        <v>67</v>
      </c>
      <c r="O159" s="7">
        <f t="shared" si="17"/>
        <v>8</v>
      </c>
    </row>
    <row r="160" spans="1:15">
      <c r="A160" s="7">
        <f t="shared" si="12"/>
        <v>8</v>
      </c>
      <c r="B160" s="7" t="s">
        <v>614</v>
      </c>
      <c r="C160" s="8" t="s">
        <v>615</v>
      </c>
      <c r="D160" s="7" t="s">
        <v>616</v>
      </c>
      <c r="E160" s="7">
        <v>5</v>
      </c>
      <c r="F160" s="7" t="s">
        <v>192</v>
      </c>
      <c r="G160" s="8" t="s">
        <v>617</v>
      </c>
      <c r="H160" s="7" t="s">
        <v>618</v>
      </c>
      <c r="I160" s="7" t="str">
        <f t="shared" si="15"/>
        <v>项目经理（学历：本科 专业要求：电气类,机械类）</v>
      </c>
      <c r="J160" s="7">
        <f t="shared" si="13"/>
        <v>372</v>
      </c>
      <c r="K160" s="7">
        <f>_xlfn.XLOOKUP(A160,长度要求!A:A,长度要求!E:E)</f>
        <v>500</v>
      </c>
      <c r="L160" s="7" t="str">
        <f t="shared" si="14"/>
        <v>1、合同管理。负责实行项目合同的分解，编制计划并下发；2、协调合同附带监造计划的签订，就监造过程中发生的重大质量、技术问题与质保部、甲方或业主沟通；3、根据公司项目计划，对项目的进度、质量进行全方位跟踪并控制，考核项目的节点，并对产品的发货进行通知；4、项目的管理，保证项目合同执行的符合性，并对项目准点交货进行控制；5、项目风险评估与控制，了解项目进展及审批情况；6、及时跟踪项目执行过程中的设计、工艺、质保、采购、制造、试验、装箱、发货直至项目验收。专业要求：电气类（电气工程及其自动化/电机与电器）机械类（机械工程及其自动化）任职要求：1、学历本科及以上；2、本科英语CET-4；研究生英语CET-6；口语良好；3、熟练操作计算机；4、有较强的承受压力的能力；较高的学习能力和适应能力；富有团队精神，有责任感；5、有学生干部工作经验优先。</v>
      </c>
      <c r="M160" s="7" t="s">
        <v>619</v>
      </c>
      <c r="N160" s="7">
        <f t="shared" si="16"/>
        <v>7</v>
      </c>
      <c r="O160" s="7">
        <f t="shared" si="17"/>
        <v>2</v>
      </c>
    </row>
    <row r="161" spans="1:15">
      <c r="A161" s="7">
        <f t="shared" si="12"/>
        <v>8</v>
      </c>
      <c r="B161" s="7" t="s">
        <v>614</v>
      </c>
      <c r="C161" s="8" t="s">
        <v>615</v>
      </c>
      <c r="D161" s="7" t="s">
        <v>620</v>
      </c>
      <c r="E161" s="7">
        <v>5</v>
      </c>
      <c r="F161" s="7" t="s">
        <v>192</v>
      </c>
      <c r="G161" s="8" t="s">
        <v>621</v>
      </c>
      <c r="H161" s="7" t="s">
        <v>618</v>
      </c>
      <c r="I161" s="7" t="str">
        <f t="shared" si="15"/>
        <v>生产制造培训生（学历：本科 专业要求：机械类,电气类,工业工程）</v>
      </c>
      <c r="J161" s="7">
        <f t="shared" si="13"/>
        <v>315</v>
      </c>
      <c r="K161" s="7">
        <f>_xlfn.XLOOKUP(A161,长度要求!A:A,长度要求!E:E)</f>
        <v>500</v>
      </c>
      <c r="L161" s="7" t="str">
        <f t="shared" si="14"/>
        <v>1、根据销售排产需求及工厂实际生产能力，参与策划和排定大纲计划2、根据计划管理工作要求，参与计划相关会务3、负责生产的准备、进度与配套件落实，合理调度，控制生产节奏4、现场技术指导5、协调生产中突发性的材料、技术、工艺、质量、设备、能源、生产场地等问题，及时采取有效措施6、确保分厂质量体系的执行与落地7、负责协调解决现场发生的质量问题8、负责分厂的工艺工关、质量改进及技术降本工作专业要求：机械、电气、工业工程等专业任职要求：1、学历本科及以上；2、本科英语CET-4；研究生英语CET-6；口语良好；3、熟练操作计算机；4、有较强的承受压力的能力；较高的学习能力和适应能力；富有团队精神，有责任感；5、有学生干部工作经验优先。</v>
      </c>
      <c r="M161" s="7" t="s">
        <v>622</v>
      </c>
      <c r="N161" s="7">
        <f t="shared" si="16"/>
        <v>12</v>
      </c>
      <c r="O161" s="7">
        <f t="shared" si="17"/>
        <v>3</v>
      </c>
    </row>
    <row r="162" spans="1:15">
      <c r="A162" s="7">
        <f t="shared" si="12"/>
        <v>8</v>
      </c>
      <c r="B162" s="7" t="s">
        <v>614</v>
      </c>
      <c r="C162" s="8" t="s">
        <v>615</v>
      </c>
      <c r="D162" s="7" t="s">
        <v>623</v>
      </c>
      <c r="E162" s="7">
        <v>5</v>
      </c>
      <c r="F162" s="7" t="s">
        <v>192</v>
      </c>
      <c r="G162" s="8" t="s">
        <v>624</v>
      </c>
      <c r="H162" s="7" t="s">
        <v>618</v>
      </c>
      <c r="I162" s="7" t="str">
        <f t="shared" si="15"/>
        <v>售后服务工程师（学历：本科 专业要求：电气类,机械类）</v>
      </c>
      <c r="J162" s="7">
        <f t="shared" si="13"/>
        <v>378</v>
      </c>
      <c r="K162" s="7">
        <f>_xlfn.XLOOKUP(A162,长度要求!A:A,长度要求!E:E)</f>
        <v>500</v>
      </c>
      <c r="L162" s="7" t="str">
        <f t="shared" si="14"/>
        <v>1、参加现场设备开箱，清点、检查设备数量及质量。对箱单进行各方现场签证，并收集。2、接受任务时问明任务内容及时做好准备工作，并先行与用户联系确认到达现场时间，一般项目须在24小时到达现场。3、及时准确的了解现场情况并进行工作上的问题处理，及时进行信息反馈。把握和纠正现场安装中存在的问题，组织推进现场服务和问题的及时处理。4、市场开拓：市场和客户开发及管理；5、服务业务承接及执行过程中销售相关工作，包括不限于标书制度、订单签订、销售、回款等。6、负责现场与客户之间的沟通、协调，数理公司的形象维护公司的信誉及利益。专业要求：电气、机械大类专业任职要求：1、学历本科及以上；2、本科英语CET-4；研究生英语CET-6；口语良好；3、熟练操作计算机；4、有较强的承受压力的能力；较高的学习能力和适应能力；富有团队精神，有责任感；5、有学生干部工作经验优先。</v>
      </c>
      <c r="M162" s="7" t="s">
        <v>619</v>
      </c>
      <c r="N162" s="7">
        <f t="shared" si="16"/>
        <v>7</v>
      </c>
      <c r="O162" s="7">
        <f t="shared" si="17"/>
        <v>2</v>
      </c>
    </row>
    <row r="163" spans="1:15">
      <c r="A163" s="7">
        <f t="shared" si="12"/>
        <v>8</v>
      </c>
      <c r="B163" s="7" t="s">
        <v>614</v>
      </c>
      <c r="C163" s="8" t="s">
        <v>615</v>
      </c>
      <c r="D163" s="7" t="s">
        <v>625</v>
      </c>
      <c r="E163" s="7">
        <v>5</v>
      </c>
      <c r="F163" s="7" t="s">
        <v>192</v>
      </c>
      <c r="G163" s="8" t="s">
        <v>626</v>
      </c>
      <c r="H163" s="7" t="s">
        <v>618</v>
      </c>
      <c r="I163" s="7" t="str">
        <f t="shared" si="15"/>
        <v>电机设计工程师（学历：本科 专业要求：机械类,电气类,材料类,动力工程及工程热物理）</v>
      </c>
      <c r="J163" s="7">
        <f t="shared" si="13"/>
        <v>426</v>
      </c>
      <c r="K163" s="7">
        <f>_xlfn.XLOOKUP(A163,长度要求!A:A,长度要求!E:E)</f>
        <v>500</v>
      </c>
      <c r="L163" s="7" t="str">
        <f t="shared" si="14"/>
        <v>1、熟练使用二、三维软件绘图、有限元分析建模；2、技术方案设计：基于客户需求制定性能匹配的电机技术方案，支撑市场订单承接；参与海外项目及新产品的电机方案设计开发。3、行业调研与需求分析：快速学习理解各行业产品需求特征，参与行业调研；对接海外客户及销售团队，消化技术规格书并梳理电机技术清单。3、产品开发与生产支持：确保电机设计图样符合合同要求，在技术准备周期内完成设计工作；编制可实施的设计图样，解决生产现场的制造问题。4、跨部门协作：参与制定新产品开发计划，协同生产部门完成技术落地。专业要求：电气类（电气工程及其自动化/电机与电器）机械类（机械工程及其自动化）材料类（金属材料/材料成型及控制工程）热动类（低温制冷/通风冷却/流体机械）任职要求：1、学历本科及以上；2、本科英语CET-4；研究生英语CET-6；口语良好；3、熟练操作计算机；4、有较强的承受压力的能力；较高的学习能力和适应能力；富有团队精神，有责任感；5、有学生干部工作经验优先。</v>
      </c>
      <c r="M163" s="7" t="s">
        <v>627</v>
      </c>
      <c r="N163" s="7">
        <f t="shared" si="16"/>
        <v>22</v>
      </c>
      <c r="O163" s="7">
        <f t="shared" si="17"/>
        <v>4</v>
      </c>
    </row>
    <row r="164" spans="1:15">
      <c r="A164" s="7">
        <f t="shared" si="12"/>
        <v>8</v>
      </c>
      <c r="B164" s="7" t="s">
        <v>614</v>
      </c>
      <c r="C164" s="8" t="s">
        <v>615</v>
      </c>
      <c r="D164" s="7" t="s">
        <v>628</v>
      </c>
      <c r="E164" s="7">
        <v>5</v>
      </c>
      <c r="F164" s="7" t="s">
        <v>192</v>
      </c>
      <c r="G164" s="8" t="s">
        <v>629</v>
      </c>
      <c r="H164" s="7" t="s">
        <v>618</v>
      </c>
      <c r="I164" s="7" t="str">
        <f t="shared" si="15"/>
        <v>电机研发工程师（学历：本科 专业要求：机械类,电气类,能源与动力工程）</v>
      </c>
      <c r="J164" s="7">
        <f t="shared" si="13"/>
        <v>882</v>
      </c>
      <c r="K164" s="7">
        <f>_xlfn.XLOOKUP(A164,长度要求!A:A,长度要求!E:E)</f>
        <v>500</v>
      </c>
      <c r="L164" s="7" t="str">
        <f t="shared" si="14"/>
        <v>1、电磁设计与仿真负责电机电磁方案的计算、优化及迭代，包括空载、负载、电枢反应、损耗等特性分析。熟练使用电磁仿真软件（如AnsysMaxwell、JMAG等）进行电磁分析，并优化设计方案。针对特种电机需求，开发电磁计算流程、方法及相关程序，支撑产品研发。对瞬态工况（如短路、突加突卸负载、重合闸等）进行仿真分析，优化电机性能。2、结构设计与优化负责电机结构方案的设计、优化及验证，确保结构可靠性。熟练使用CAD制图及三维设计软件（如UGNX、SolidWorks等）完成结构设计。使用结构仿真软件（如AnsysWorkbench）进行强度、振动、热分析等优化。3、绝缘技术研发负责新型绝缘结构的研发及科研课题研究，确保绝缘可靠性。完成实验室测试及科研项目，编制相关技术文件。解决生产过程中的绝缘技术问题，协助供应商优化制造工艺。4、通风研发熟练使用三维软件绘图、有限元分析建模；能熟练运用fluent等流体有限元分析软件；采用流体有限元软件进行过流量、流速、温度场分布等工程计算5、通用件开发与技术能力建设负责通用件的开发、设计及标准化管理。推动通用技术能力建设，提升设计效率与产品一致性。提供通用件……</v>
      </c>
      <c r="M164" s="7" t="s">
        <v>630</v>
      </c>
      <c r="N164" s="7">
        <f t="shared" si="16"/>
        <v>15</v>
      </c>
      <c r="O164" s="7">
        <f t="shared" si="17"/>
        <v>3</v>
      </c>
    </row>
    <row r="165" spans="1:15">
      <c r="A165" s="7">
        <f t="shared" si="12"/>
        <v>7</v>
      </c>
      <c r="B165" s="7" t="s">
        <v>73</v>
      </c>
      <c r="C165" s="8" t="s">
        <v>74</v>
      </c>
      <c r="D165" s="7" t="s">
        <v>631</v>
      </c>
      <c r="E165" s="7">
        <v>5</v>
      </c>
      <c r="F165" s="7" t="s">
        <v>18</v>
      </c>
      <c r="G165" s="8" t="s">
        <v>632</v>
      </c>
      <c r="H165" s="7" t="s">
        <v>484</v>
      </c>
      <c r="I165" s="7" t="str">
        <f t="shared" si="15"/>
        <v>双语讲解员（学历：大专 专业要求：无）</v>
      </c>
      <c r="J165" s="7">
        <f t="shared" si="13"/>
        <v>238</v>
      </c>
      <c r="K165" s="7">
        <f>_xlfn.XLOOKUP(A165,长度要求!A:A,长度要求!E:E)</f>
        <v>500</v>
      </c>
      <c r="L165" s="7" t="str">
        <f t="shared" si="14"/>
        <v>（1）女性身高165以上，男性175cm以上，身体健康，学习能力强，善于沟通交流，责任心强，（2）语言表发能力强，善于沟通，具有大学四级、六级证书，普通话说平测试二级甲等或以上水平。（3）有较强的组织协调能力，团队协作能力，反应敏捷，能妥善处理游客的突发状况。薪资待遇：7000-8000元/月其他福利：早中餐、高温费、年终奖、大礼包等实习生3000元+500元全勤奖，国企，提供完善的培训，实习表现优秀者毕业后优先录用。录用后缴纳四金，提供年终奖、高温费、大礼包，详情面谈。</v>
      </c>
      <c r="N165" s="7">
        <f t="shared" si="16"/>
        <v>0</v>
      </c>
      <c r="O165" s="7">
        <f t="shared" si="17"/>
        <v>0</v>
      </c>
    </row>
    <row r="166" spans="1:15">
      <c r="A166" s="7">
        <f t="shared" si="12"/>
        <v>5</v>
      </c>
      <c r="B166" s="7" t="s">
        <v>598</v>
      </c>
      <c r="C166" s="8" t="s">
        <v>599</v>
      </c>
      <c r="D166" s="7" t="s">
        <v>633</v>
      </c>
      <c r="E166" s="7">
        <v>2</v>
      </c>
      <c r="F166" s="7" t="s">
        <v>192</v>
      </c>
      <c r="G166" s="8" t="s">
        <v>634</v>
      </c>
      <c r="H166" s="7" t="s">
        <v>588</v>
      </c>
      <c r="I166" s="7" t="str">
        <f t="shared" si="15"/>
        <v>市场经理助理（学历：本科 专业要求：生物科学,生物技术,微生物学,制药工程）</v>
      </c>
      <c r="J166" s="7">
        <f t="shared" si="13"/>
        <v>248</v>
      </c>
      <c r="K166" s="7">
        <f>_xlfn.XLOOKUP(A166,长度要求!A:A,长度要求!E:E)</f>
        <v>500</v>
      </c>
      <c r="L166" s="7" t="str">
        <f t="shared" si="14"/>
        <v>岗位内容：1.监测产品销售情况，分析市场需求变化和竞争趋势，为公司制定更好的销售策略和服务方案；2.负责市场调研及数据收集、整合和分析，定期汇报和总结市场信息，并将其应用到产品和品牌推广中；3.负责客户报价的准备、样品发送、合同洽谈以及后续的收款等工作，确保销售流程顺畅高效，同时参与解决客户在购买过程中遇到的问题；4.参与组织和执行各种推广活动，积极开拓新客户和市场份额，提高销售额和用户体验；5.团队协作与跨部门沟通：与研发部、技术部、物流等部门保持良好的沟通与协作，确保销售项目的顺利进行。</v>
      </c>
      <c r="M166" s="7" t="s">
        <v>635</v>
      </c>
      <c r="N166" s="7">
        <f t="shared" si="16"/>
        <v>19</v>
      </c>
      <c r="O166" s="7">
        <f t="shared" si="17"/>
        <v>4</v>
      </c>
    </row>
    <row r="167" spans="1:15">
      <c r="A167" s="7">
        <f t="shared" si="12"/>
        <v>6</v>
      </c>
      <c r="B167" s="7" t="s">
        <v>455</v>
      </c>
      <c r="C167" s="8" t="s">
        <v>456</v>
      </c>
      <c r="D167" s="7" t="s">
        <v>636</v>
      </c>
      <c r="E167" s="7">
        <v>3</v>
      </c>
      <c r="F167" s="7" t="s">
        <v>192</v>
      </c>
      <c r="G167" s="8" t="s">
        <v>637</v>
      </c>
      <c r="H167" s="7" t="s">
        <v>435</v>
      </c>
      <c r="I167" s="7" t="str">
        <f t="shared" si="15"/>
        <v>外贸专员（学历：本科 专业要求：无）</v>
      </c>
      <c r="J167" s="7">
        <f t="shared" si="13"/>
        <v>66</v>
      </c>
      <c r="K167" s="7">
        <f>_xlfn.XLOOKUP(A167,长度要求!A:A,长度要求!E:E)</f>
        <v>500</v>
      </c>
      <c r="L167" s="7" t="str">
        <f t="shared" si="14"/>
        <v>英语或者国贸相关专业、英语良好、有志于从事外贸行业，不管你有没有经验，都可以加入大洋外贸团队。我们有完整的培训体系可以助你快速成长。</v>
      </c>
      <c r="N167" s="7">
        <f t="shared" si="16"/>
        <v>0</v>
      </c>
      <c r="O167" s="7">
        <f t="shared" si="17"/>
        <v>0</v>
      </c>
    </row>
    <row r="168" spans="1:15">
      <c r="A168" s="7">
        <f t="shared" si="12"/>
        <v>6</v>
      </c>
      <c r="B168" s="7" t="s">
        <v>455</v>
      </c>
      <c r="C168" s="8" t="s">
        <v>456</v>
      </c>
      <c r="D168" s="7" t="s">
        <v>638</v>
      </c>
      <c r="E168" s="7">
        <v>10</v>
      </c>
      <c r="F168" s="7" t="s">
        <v>192</v>
      </c>
      <c r="G168" s="8" t="s">
        <v>639</v>
      </c>
      <c r="H168" s="7" t="s">
        <v>97</v>
      </c>
      <c r="I168" s="7" t="str">
        <f t="shared" si="15"/>
        <v>技术研发类（学历：本科 专业要求：无）</v>
      </c>
      <c r="J168" s="7">
        <f t="shared" si="13"/>
        <v>109</v>
      </c>
      <c r="K168" s="7">
        <f>_xlfn.XLOOKUP(A168,长度要求!A:A,长度要求!E:E)</f>
        <v>500</v>
      </c>
      <c r="L168" s="7" t="str">
        <f t="shared" si="14"/>
        <v>培养方向：结构工程师、电子工程师、电机工程师岗位要求：①2026届毕业生，本科及以上学历；②机电类相关专业，熟悉AUTOCAD、PRO-E等制图软件，有较强的独立组织能力；③耐心沉着，上进心强，有市场洞察力和创新精神。</v>
      </c>
      <c r="N168" s="7">
        <f t="shared" si="16"/>
        <v>0</v>
      </c>
      <c r="O168" s="7">
        <f t="shared" si="17"/>
        <v>0</v>
      </c>
    </row>
    <row r="169" spans="1:15">
      <c r="A169" s="7">
        <f t="shared" si="12"/>
        <v>2</v>
      </c>
      <c r="B169" s="7" t="s">
        <v>459</v>
      </c>
      <c r="C169" s="8" t="s">
        <v>460</v>
      </c>
      <c r="D169" s="7" t="s">
        <v>640</v>
      </c>
      <c r="E169" s="7">
        <v>2</v>
      </c>
      <c r="F169" s="7" t="s">
        <v>641</v>
      </c>
      <c r="G169" s="8" t="s">
        <v>642</v>
      </c>
      <c r="H169" s="7" t="s">
        <v>643</v>
      </c>
      <c r="I169" s="7" t="str">
        <f t="shared" si="15"/>
        <v>设计师（学历：博士 专业要求：无）</v>
      </c>
      <c r="J169" s="7">
        <f t="shared" si="13"/>
        <v>151</v>
      </c>
      <c r="K169" s="7">
        <f>_xlfn.XLOOKUP(A169,长度要求!A:A,长度要求!E:E)</f>
        <v>500</v>
      </c>
      <c r="L169" s="7" t="str">
        <f t="shared" si="14"/>
        <v>1、协作完成重点基础研究项目或者新技术研究项目的论证工作；2、负责新型固体动力总体方案论证与系统设计；3、承担项目技术攻关工作，负责项目方案实施过程中方案设计与试验工作；4、完成项目实施不同阶段和节点总结，以及项目成果总结；5、参与项目相关技术及工作资料的编写与整理，完成相关文档编纂与知识产权的申报。</v>
      </c>
      <c r="N169" s="7">
        <f t="shared" si="16"/>
        <v>0</v>
      </c>
      <c r="O169" s="7">
        <f t="shared" si="17"/>
        <v>0</v>
      </c>
    </row>
    <row r="170" spans="1:15">
      <c r="A170" s="7">
        <f t="shared" si="12"/>
        <v>5</v>
      </c>
      <c r="B170" s="7" t="s">
        <v>219</v>
      </c>
      <c r="C170" s="8" t="s">
        <v>220</v>
      </c>
      <c r="D170" s="7" t="s">
        <v>644</v>
      </c>
      <c r="E170" s="7">
        <v>2</v>
      </c>
      <c r="F170" s="7" t="s">
        <v>641</v>
      </c>
      <c r="G170" s="8" t="s">
        <v>645</v>
      </c>
      <c r="H170" s="7" t="s">
        <v>646</v>
      </c>
      <c r="I170" s="7" t="str">
        <f t="shared" si="15"/>
        <v>通信系统总特设计师（学历：博士 专业要求：无）</v>
      </c>
      <c r="J170" s="7">
        <f t="shared" si="13"/>
        <v>21</v>
      </c>
      <c r="K170" s="7">
        <f>_xlfn.XLOOKUP(A170,长度要求!A:A,长度要求!E:E)</f>
        <v>500</v>
      </c>
      <c r="L170" s="7" t="str">
        <f t="shared" si="14"/>
        <v>详见招聘简章，具体岗位需求及任职资格面谈。</v>
      </c>
      <c r="N170" s="7">
        <f t="shared" si="16"/>
        <v>0</v>
      </c>
      <c r="O170" s="7">
        <f t="shared" si="17"/>
        <v>0</v>
      </c>
    </row>
    <row r="171" spans="1:15">
      <c r="A171" s="7">
        <f t="shared" si="12"/>
        <v>7</v>
      </c>
      <c r="B171" s="7" t="s">
        <v>647</v>
      </c>
      <c r="C171" s="8" t="s">
        <v>648</v>
      </c>
      <c r="D171" s="7" t="s">
        <v>649</v>
      </c>
      <c r="E171" s="7">
        <v>6</v>
      </c>
      <c r="F171" s="7" t="s">
        <v>192</v>
      </c>
      <c r="G171" s="8" t="s">
        <v>650</v>
      </c>
      <c r="H171" s="7" t="s">
        <v>651</v>
      </c>
      <c r="I171" s="7" t="str">
        <f t="shared" si="15"/>
        <v>销售管培生（学历：本科 专业要求：无）</v>
      </c>
      <c r="J171" s="7">
        <f t="shared" si="13"/>
        <v>409</v>
      </c>
      <c r="K171" s="7">
        <f>_xlfn.XLOOKUP(A171,长度要求!A:A,长度要求!E:E)</f>
        <v>500</v>
      </c>
      <c r="L171" s="7" t="str">
        <f t="shared" si="14"/>
        <v>主要职责：1）销售管培生将接受关于销售技巧、销售流程和销售策略的培训。2）销售管培生需要参与市场研究和竞争分析，以了解目标市场、竞争对手和潜在客户的需求。3）销售管培生需要与客户沟通，建立和维护客户关系，提供支持并满足客户需求。4）销售管培生通常会协助销售团队的成员，提供销售支持，协助准备销售提案、合同和报价。5）销售管培生需要记录销售活动、制定报告并分析销售绩效，以评估销售目标的达成情况。任职要求：1）本科及以上，尤其是与工商管理、市场营销、物流管理等相关的专业。2）沟通能力：出色的口头和书面沟通技能，能够与客户和团队有效交流。3）团队合作：具备良好的团队合作能力，能够与多个利益相关者协作。4）激情和动力：对销售领域有热情，愿意学习和不断提高销售技能。5）自我驱动：能够独立工作，积极主动，具备解决问题和决策能力。6）分析能力：能够分析市场趋势和数据，制定销售策略。8）技术技能：熟练使用办公软件和销售工具。</v>
      </c>
      <c r="N171" s="7">
        <f t="shared" si="16"/>
        <v>0</v>
      </c>
      <c r="O171" s="7">
        <f t="shared" si="17"/>
        <v>0</v>
      </c>
    </row>
    <row r="172" spans="1:15">
      <c r="A172" s="7">
        <f t="shared" si="12"/>
        <v>5</v>
      </c>
      <c r="B172" s="7" t="s">
        <v>323</v>
      </c>
      <c r="C172" s="8" t="s">
        <v>324</v>
      </c>
      <c r="D172" s="7" t="s">
        <v>652</v>
      </c>
      <c r="E172" s="7">
        <v>2</v>
      </c>
      <c r="F172" s="7" t="s">
        <v>18</v>
      </c>
      <c r="G172" s="8" t="s">
        <v>653</v>
      </c>
      <c r="H172" s="7" t="s">
        <v>67</v>
      </c>
      <c r="I172" s="7" t="str">
        <f t="shared" si="15"/>
        <v>销售/二手车实习生（学历：大专 专业要求：无）</v>
      </c>
      <c r="J172" s="7">
        <f t="shared" si="13"/>
        <v>137</v>
      </c>
      <c r="K172" s="7">
        <f>_xlfn.XLOOKUP(A172,长度要求!A:A,长度要求!E:E)</f>
        <v>500</v>
      </c>
      <c r="L172" s="7" t="str">
        <f t="shared" si="14"/>
        <v>协助部门办理车辆销售的相关手续；积极上报并解决售车过程中出现的问题；熟悉市场营销知识，愿意在汽车销售领域长期发展；客户服务意识强；亲和力强，有较好的公关能力；全日制大专及以上学历2026届毕业生；认真负责、吃苦耐劳，能承受工作压力。根据学历月实习津贴2400-3000不等。</v>
      </c>
      <c r="N172" s="7">
        <f t="shared" si="16"/>
        <v>0</v>
      </c>
      <c r="O172" s="7">
        <f t="shared" si="17"/>
        <v>0</v>
      </c>
    </row>
    <row r="173" spans="1:15">
      <c r="A173" s="7">
        <f t="shared" si="12"/>
        <v>5</v>
      </c>
      <c r="B173" s="7" t="s">
        <v>323</v>
      </c>
      <c r="C173" s="8" t="s">
        <v>324</v>
      </c>
      <c r="D173" s="7" t="s">
        <v>654</v>
      </c>
      <c r="E173" s="7">
        <v>1</v>
      </c>
      <c r="F173" s="7" t="s">
        <v>18</v>
      </c>
      <c r="G173" s="8" t="s">
        <v>655</v>
      </c>
      <c r="H173" s="7" t="s">
        <v>67</v>
      </c>
      <c r="I173" s="7" t="str">
        <f t="shared" si="15"/>
        <v>电话专员（学历：大专 专业要求：无）</v>
      </c>
      <c r="J173" s="7">
        <f t="shared" si="13"/>
        <v>260</v>
      </c>
      <c r="K173" s="7">
        <f>_xlfn.XLOOKUP(A173,长度要求!A:A,长度要求!E:E)</f>
        <v>500</v>
      </c>
      <c r="L173" s="7" t="str">
        <f t="shared" si="14"/>
        <v>职位描述:1.根据汽车之家的线索数据，进行客户的外呼，了解具体车型需求，到店时间；2.利用公司提供的客户数据资料，开展电话营销；3.电话跟进客户，邀约客户进店，完成团队业绩目标；4.维护和管理垂直网站平台（汽车之家，易车等）；5.客户数据及时录入系统，更新系统。任职资格：1，工作责任心强，具有良好的沟通技巧、创新能力及执行能力。2，熟练使用办公软件、熟悉网络系统。3，思维敏捷，有很强的学习能力及团队意识，有较强的工作责任心。4，有销售经验者或电话外呼、保险优先考虑。晋升渠道：电话清洗专员-电话邀约专员-汽车销售顾问</v>
      </c>
      <c r="N173" s="7">
        <f t="shared" si="16"/>
        <v>0</v>
      </c>
      <c r="O173" s="7">
        <f t="shared" si="17"/>
        <v>0</v>
      </c>
    </row>
    <row r="174" spans="1:15">
      <c r="A174" s="7">
        <f t="shared" si="12"/>
        <v>2</v>
      </c>
      <c r="B174" s="7" t="s">
        <v>656</v>
      </c>
      <c r="C174" s="8" t="s">
        <v>657</v>
      </c>
      <c r="D174" s="7" t="s">
        <v>658</v>
      </c>
      <c r="E174" s="7">
        <v>20</v>
      </c>
      <c r="F174" s="7" t="s">
        <v>18</v>
      </c>
      <c r="G174" s="8" t="s">
        <v>659</v>
      </c>
      <c r="H174" s="7" t="s">
        <v>77</v>
      </c>
      <c r="I174" s="7" t="str">
        <f t="shared" si="15"/>
        <v>设备维护技术员（学历：大专 专业要求：无）</v>
      </c>
      <c r="J174" s="7">
        <f t="shared" si="13"/>
        <v>396</v>
      </c>
      <c r="K174" s="7">
        <f>_xlfn.XLOOKUP(A174,长度要求!A:A,长度要求!E:E)</f>
        <v>500</v>
      </c>
      <c r="L174" s="7" t="str">
        <f t="shared" si="14"/>
        <v>1.职位概述（JobSummary）12小时翻班，负责在线生产设备的日常安全，按照设备PM计划完成相应的设备保全工作。2.职责（Responsibilities）2.1对本班次运行的设备进行日常安全检查。2.2完成设备主管设备工程师制定的设备PM计划。2.3解决本班次中出现的设备一般故障，保证生产的正常运行。2.4服从本班次作业长的领导，遵守净化工作及公司各项规章。2.5根据生产情况需求，对当班工作中出现的设备问题不能解决时，及时向相关设备责任工程师通告。2.6详细记录当班次的设备运行情况。2.7负责库房备件，材料领取。3.任职资格（Qualifications）3.1大专以上，自动化及机电类相关专业。对有三年以上IC前道工作经历的学历可适当放宽。3.2一年以上IC制造工作经验。3.3具备一定的设备安全方面的知识，较强的动手能力和团队精神。知晓FMEA、SPC、MSA三大应用工具。</v>
      </c>
      <c r="N174" s="7">
        <f t="shared" si="16"/>
        <v>0</v>
      </c>
      <c r="O174" s="7">
        <f t="shared" si="17"/>
        <v>0</v>
      </c>
    </row>
    <row r="175" spans="1:15">
      <c r="A175" s="7">
        <f t="shared" si="12"/>
        <v>7</v>
      </c>
      <c r="B175" s="7" t="s">
        <v>73</v>
      </c>
      <c r="C175" s="8" t="s">
        <v>74</v>
      </c>
      <c r="D175" s="7" t="s">
        <v>660</v>
      </c>
      <c r="E175" s="7">
        <v>3</v>
      </c>
      <c r="F175" s="7" t="s">
        <v>18</v>
      </c>
      <c r="G175" s="8" t="s">
        <v>661</v>
      </c>
      <c r="H175" s="7" t="s">
        <v>77</v>
      </c>
      <c r="I175" s="7" t="str">
        <f t="shared" si="15"/>
        <v>展馆文创产品销售（学历：大专 专业要求：无）</v>
      </c>
      <c r="J175" s="7">
        <f t="shared" si="13"/>
        <v>380</v>
      </c>
      <c r="K175" s="7">
        <f>_xlfn.XLOOKUP(A175,长度要求!A:A,长度要求!E:E)</f>
        <v>500</v>
      </c>
      <c r="L175" s="7" t="str">
        <f t="shared" si="14"/>
        <v>国企可转正1、学历与专业：大专及以上，销售管理、酒店管理、商务礼仪与服务、空中乘务、商务英语等专业。工作经验不限。2、人员要求：(1)五官端正、形象气质好，163cm以上，175cm以上，年龄40岁以下。(2)语言表达能力强，善于沟通。普通话水平二级乙等以上或具备同等水平。(3)有较强的组织协调能力、团队协作能力，反应敏捷、能妥善处理游客的突发状况。(4)具有一定的英语口语能力，能与外宾简单交流。3、岗位职责负责在售商品销售及日报制作；定期商品盘货、对账；工作交接；备用金及营业款清点，销售日报制作；负责工作区域的干净、整洁、有序等。职位福利：五险一金、高温补贴、加班补助、绩效奖金、餐补、带薪年假、定期体检。实习生3000元+500元全勤奖+500饭补，提供完善的培训，实习表现优秀者毕业后优先录用。录用后缴纳四金，提供年终奖、高温费、大礼包，详情面谈。</v>
      </c>
      <c r="N175" s="7">
        <f t="shared" si="16"/>
        <v>0</v>
      </c>
      <c r="O175" s="7">
        <f t="shared" si="17"/>
        <v>0</v>
      </c>
    </row>
    <row r="176" spans="1:15">
      <c r="A176" s="7">
        <f t="shared" si="12"/>
        <v>1</v>
      </c>
      <c r="B176" s="7" t="s">
        <v>662</v>
      </c>
      <c r="C176" s="8" t="s">
        <v>663</v>
      </c>
      <c r="D176" s="7" t="s">
        <v>664</v>
      </c>
      <c r="E176" s="7">
        <v>20</v>
      </c>
      <c r="F176" s="7" t="s">
        <v>18</v>
      </c>
      <c r="G176" s="8" t="s">
        <v>665</v>
      </c>
      <c r="H176" s="7" t="s">
        <v>67</v>
      </c>
      <c r="I176" s="7" t="str">
        <f t="shared" si="15"/>
        <v>产品现场工程师（学历：大专 专业要求：无）</v>
      </c>
      <c r="J176" s="7">
        <f t="shared" si="13"/>
        <v>121</v>
      </c>
      <c r="K176" s="7">
        <f>_xlfn.XLOOKUP(A176,长度要求!A:A,长度要求!E:E)</f>
        <v>500</v>
      </c>
      <c r="L176" s="7" t="str">
        <f t="shared" si="14"/>
        <v>1、熟悉装配流程，掌握机械结构，能阅读具有一定难度的零件图样和工艺文件；2、熟练使用CAD等绘图软件进行图纸查看，熟练运用Word、Excel等办公软件工具；3、具备机械零部件、电子设备或产品总装的装配作业经历优先；4、学历要求为大专及以上。</v>
      </c>
      <c r="N176" s="7">
        <f t="shared" si="16"/>
        <v>0</v>
      </c>
      <c r="O176" s="7">
        <f t="shared" si="17"/>
        <v>0</v>
      </c>
    </row>
    <row r="177" spans="1:15">
      <c r="A177" s="7">
        <f t="shared" si="12"/>
        <v>7</v>
      </c>
      <c r="B177" s="7" t="s">
        <v>73</v>
      </c>
      <c r="C177" s="8" t="s">
        <v>74</v>
      </c>
      <c r="D177" s="7" t="s">
        <v>666</v>
      </c>
      <c r="E177" s="7">
        <v>1</v>
      </c>
      <c r="F177" s="7" t="s">
        <v>18</v>
      </c>
      <c r="G177" s="8" t="s">
        <v>667</v>
      </c>
      <c r="H177" s="7" t="s">
        <v>77</v>
      </c>
      <c r="I177" s="7" t="str">
        <f t="shared" si="15"/>
        <v>招投标专员（学历：大专 专业要求：无）</v>
      </c>
      <c r="J177" s="7">
        <f t="shared" si="13"/>
        <v>361</v>
      </c>
      <c r="K177" s="7">
        <f>_xlfn.XLOOKUP(A177,长度要求!A:A,长度要求!E:E)</f>
        <v>500</v>
      </c>
      <c r="L177" s="7" t="str">
        <f t="shared" si="14"/>
        <v>工资待遇：实习生3000元+500元全勤奖，提供完善的培训，实习表现优秀者毕业后优先录用。录用后缴纳四金，提供年终奖、高温费、大礼包，详情面谈。任职要求：1.五官端正、形象气质好，年龄25-40岁。2.善于协作与沟通，具备良好的团队合作精神。3.具有敏锐的市场洞察力和分析能力，能及时充分的把握产品和服务的市场变化及竞争对手状况;较强的社交能力和独立的办公能力。4.熟练运用办公软件，善于公文写作、报告等。5.具有吃苦耐劳的精神。岗位职责：1.对供应商选用条件进行资格预审;能独立完成、编制项目合同;对于各项采购合同应有独立审核能力并提出合理性的意见、建议。2.有精准编制项目预算和成本效益分析的能力。3.能独立完成招投标工作，对主要招投标网站熟悉并能独立操作。4.负责部门内相关材料的收集整理等。5.领导交代的其他工作。</v>
      </c>
      <c r="N177" s="7">
        <f t="shared" si="16"/>
        <v>0</v>
      </c>
      <c r="O177" s="7">
        <f t="shared" si="17"/>
        <v>0</v>
      </c>
    </row>
    <row r="178" spans="1:15">
      <c r="A178" s="7">
        <f t="shared" si="12"/>
        <v>7</v>
      </c>
      <c r="B178" s="7" t="s">
        <v>647</v>
      </c>
      <c r="C178" s="8" t="s">
        <v>648</v>
      </c>
      <c r="D178" s="7" t="s">
        <v>668</v>
      </c>
      <c r="E178" s="7">
        <v>2</v>
      </c>
      <c r="F178" s="7" t="s">
        <v>192</v>
      </c>
      <c r="G178" s="8" t="s">
        <v>669</v>
      </c>
      <c r="H178" s="7" t="s">
        <v>266</v>
      </c>
      <c r="I178" s="7" t="str">
        <f t="shared" si="15"/>
        <v>平面设计师（学历：本科 专业要求：服装设计与工程,艺术设计学,视觉传达设计,服装与服饰设计,设计艺术学,艺术设计,视觉传播设计与制作,广告设计与制作,产品艺术设计,设计学类）</v>
      </c>
      <c r="J178" s="7">
        <f t="shared" si="13"/>
        <v>345</v>
      </c>
      <c r="K178" s="7">
        <f>_xlfn.XLOOKUP(A178,长度要求!A:A,长度要求!E:E)</f>
        <v>500</v>
      </c>
      <c r="L178" s="7" t="str">
        <f t="shared" si="14"/>
        <v>岗位职责：1.负责公司的宣传资料、平面设计等工作。2.负责公司广告宣传品平面设计及制作。3.与其他部门、策划人员充分沟通，分析市场策划方案及制作需求，充分理解意图，设计和创作平面方案。4.负责对广告、宣传彩页、宣传海报等的设计与制作。5.负责公司大型市场活动、展会、公司内部活动宣传品的设计与安装、实施。6.完成领导安排的其他工作。岗位要求：1.专科及以上学历，广告视觉、平面设计等相关专业毕业；2.1年以上平面设计工作经验；3.熟练使用Photoshop/illustrator/Coreldrew/等设计软件；4.具备平面广告设计、网站设计制作技能；5.较强的理解分析、创意设计能力和色彩搭配能力；6.主动性高，善于沟通、耐心细致，有较强的责任心。7.欢迎应届毕业生/兼职实习前来咨询。</v>
      </c>
      <c r="M178" s="7" t="s">
        <v>670</v>
      </c>
      <c r="N178" s="7">
        <f t="shared" si="16"/>
        <v>69</v>
      </c>
      <c r="O178" s="7">
        <f t="shared" si="17"/>
        <v>10</v>
      </c>
    </row>
    <row r="179" spans="1:15">
      <c r="A179" s="7">
        <f t="shared" si="12"/>
        <v>7</v>
      </c>
      <c r="B179" s="7" t="s">
        <v>647</v>
      </c>
      <c r="C179" s="8" t="s">
        <v>648</v>
      </c>
      <c r="D179" s="7" t="s">
        <v>671</v>
      </c>
      <c r="E179" s="7">
        <v>5</v>
      </c>
      <c r="F179" s="7" t="s">
        <v>192</v>
      </c>
      <c r="G179" s="8" t="s">
        <v>672</v>
      </c>
      <c r="H179" s="7" t="s">
        <v>316</v>
      </c>
      <c r="I179" s="7" t="str">
        <f t="shared" si="15"/>
        <v>电商运营专员（学历：本科 专业要求：国际经济与贸易,贸易经济,英语,网络与新媒体,传播学,广告学,新闻学,广播电视学,工商管理,市场营销）</v>
      </c>
      <c r="J179" s="7">
        <f t="shared" si="13"/>
        <v>298</v>
      </c>
      <c r="K179" s="7">
        <f>_xlfn.XLOOKUP(A179,长度要求!A:A,长度要求!E:E)</f>
        <v>500</v>
      </c>
      <c r="L179" s="7" t="str">
        <f t="shared" si="14"/>
        <v>岗位职责：1.熟练操作SEO优化，熟悉天猫商城、京东等的运营环境及其交易规则、营销工具和促销活动，可独立完成旗舰店内外营销活动的策划和管理2.分析店铺的销售数据，合理安排并改进销售计划，对店铺商品的陈列及主推商品的广告企划提出自己的建议，并跟踪落实展示3.统筹店内售前沟通、售后处理等，合理调配相关工作人员，优化工作效率任职要求：1.大专以上学历，性别不限，经管类、广告传媒类、计算机、网络、电子商务等相关专业，有天猫商城、京东店铺销售经验者优先；2.工作细心，具有很强的责任心和敬业精神、快速的学习能力、优秀的团队合作精神，良好的沟通和协调能力；3.有学生会经历、有驾照者优先。欢迎应届毕业生。</v>
      </c>
      <c r="M179" s="7" t="s">
        <v>673</v>
      </c>
      <c r="N179" s="7">
        <f t="shared" si="16"/>
        <v>50</v>
      </c>
      <c r="O179" s="7">
        <f t="shared" si="17"/>
        <v>10</v>
      </c>
    </row>
    <row r="180" spans="1:15">
      <c r="A180" s="7">
        <f t="shared" si="12"/>
        <v>2</v>
      </c>
      <c r="B180" s="7" t="s">
        <v>674</v>
      </c>
      <c r="C180" s="8" t="s">
        <v>675</v>
      </c>
      <c r="D180" s="7" t="s">
        <v>676</v>
      </c>
      <c r="E180" s="7">
        <v>50</v>
      </c>
      <c r="F180" s="7" t="s">
        <v>18</v>
      </c>
      <c r="G180" s="8" t="s">
        <v>677</v>
      </c>
      <c r="H180" s="7" t="s">
        <v>55</v>
      </c>
      <c r="I180" s="7" t="str">
        <f t="shared" si="15"/>
        <v>新媒体主播（学历：大专 专业要求：无）</v>
      </c>
      <c r="J180" s="7">
        <f t="shared" si="13"/>
        <v>20</v>
      </c>
      <c r="K180" s="7">
        <f>_xlfn.XLOOKUP(A180,长度要求!A:A,长度要求!E:E)</f>
        <v>500</v>
      </c>
      <c r="L180" s="7" t="str">
        <f t="shared" si="14"/>
        <v>1：负责拍摄短视频2：负责直播间粉丝互动</v>
      </c>
      <c r="N180" s="7">
        <f t="shared" si="16"/>
        <v>0</v>
      </c>
      <c r="O180" s="7">
        <f t="shared" si="17"/>
        <v>0</v>
      </c>
    </row>
    <row r="181" spans="1:15">
      <c r="A181" s="7">
        <f t="shared" si="12"/>
        <v>2</v>
      </c>
      <c r="B181" s="7" t="s">
        <v>674</v>
      </c>
      <c r="C181" s="8" t="s">
        <v>675</v>
      </c>
      <c r="D181" s="7" t="s">
        <v>678</v>
      </c>
      <c r="E181" s="7">
        <v>20</v>
      </c>
      <c r="F181" s="7" t="s">
        <v>18</v>
      </c>
      <c r="G181" s="8" t="s">
        <v>679</v>
      </c>
      <c r="H181" s="7" t="s">
        <v>104</v>
      </c>
      <c r="I181" s="7" t="str">
        <f t="shared" si="15"/>
        <v>行政前台（学历：大专 专业要求：无）</v>
      </c>
      <c r="J181" s="7">
        <f t="shared" si="13"/>
        <v>37</v>
      </c>
      <c r="K181" s="7">
        <f>_xlfn.XLOOKUP(A181,长度要求!A:A,长度要求!E:E)</f>
        <v>500</v>
      </c>
      <c r="L181" s="7" t="str">
        <f t="shared" si="14"/>
        <v>1：负责招聘邀约接待2：负责前台卫生保持3：数据统计周六周日双休，有师父带</v>
      </c>
      <c r="N181" s="7">
        <f t="shared" si="16"/>
        <v>0</v>
      </c>
      <c r="O181" s="7">
        <f t="shared" si="17"/>
        <v>0</v>
      </c>
    </row>
    <row r="182" spans="1:15">
      <c r="A182" s="7">
        <f t="shared" si="12"/>
        <v>7</v>
      </c>
      <c r="B182" s="7" t="s">
        <v>647</v>
      </c>
      <c r="C182" s="8" t="s">
        <v>648</v>
      </c>
      <c r="D182" s="7" t="s">
        <v>43</v>
      </c>
      <c r="E182" s="7">
        <v>2</v>
      </c>
      <c r="F182" s="7" t="s">
        <v>27</v>
      </c>
      <c r="G182" s="8" t="s">
        <v>680</v>
      </c>
      <c r="H182" s="7" t="s">
        <v>274</v>
      </c>
      <c r="I182" s="7" t="str">
        <f t="shared" si="15"/>
        <v>新媒体运营（学历：初中及以下 专业要求：无）</v>
      </c>
      <c r="J182" s="7">
        <f t="shared" si="13"/>
        <v>520</v>
      </c>
      <c r="K182" s="7">
        <f>_xlfn.XLOOKUP(A182,长度要求!A:A,长度要求!E:E)</f>
        <v>500</v>
      </c>
      <c r="L182" s="7" t="str">
        <f t="shared" si="14"/>
        <v>岗位职责：1.负责公司官网、双微公众号的频道规划、内容编辑、输出，日常运营和维护；提高品牌影响力和访客流量，提升用户的关注度和粘性；2,负责抖音、B站等新媒体账号的日常运营和维护，粉丝互动，提升粉丝总量和转化率；1,负责公司品牌、企宣方案的制定、撰写、挖掘、提炼、内外部对接、日常运营，提升文宣内容质量和品牌形象；2,新闻媒体对接，媒体稿件的编撰、审核，内部文宣；3,公司宣传片、宣传册等文宣物料的脚本策划、拍摄制作、剪辑、发布及推广，协助销售部门树立品牌形象；4,负责日常文宣材料设计、制作（宣传材料，包括海报、单页、宣传册、展架、H5、PPT等）5,负责外部展会布展事宜（总体展示方案、展台设计、展品、宣传册、人员协调、宣传材料、展会文宣等）；6,完善舆情监测、管理，优化公共关系、舆论环境；7,行业及竞品分析；任职要求：1、3年以上新媒体运营经验，熟悉社交媒体平台的运营规则和推广手段。2、具备优秀的写作、编辑、策划能力，能够独立撰写高质量的推广文案。3、熟练使用Photoshop、Premiere等多媒体编辑软件。4、熟悉社交媒体数据分析，具备数据驱动的运营思维5、具有一定的抗压能力并能接……</v>
      </c>
      <c r="N182" s="7">
        <f t="shared" si="16"/>
        <v>0</v>
      </c>
      <c r="O182" s="7">
        <f t="shared" si="17"/>
        <v>0</v>
      </c>
    </row>
    <row r="183" spans="1:15">
      <c r="A183" s="7">
        <f t="shared" si="12"/>
        <v>5</v>
      </c>
      <c r="B183" s="7" t="s">
        <v>598</v>
      </c>
      <c r="C183" s="8" t="s">
        <v>599</v>
      </c>
      <c r="D183" s="7" t="s">
        <v>681</v>
      </c>
      <c r="E183" s="7">
        <v>3</v>
      </c>
      <c r="F183" s="7" t="s">
        <v>18</v>
      </c>
      <c r="G183" s="8" t="s">
        <v>682</v>
      </c>
      <c r="H183" s="7" t="s">
        <v>274</v>
      </c>
      <c r="I183" s="7" t="str">
        <f t="shared" si="15"/>
        <v>销售工程师（试剂耗材类）（学历：大专 专业要求：无）</v>
      </c>
      <c r="J183" s="7">
        <f t="shared" si="13"/>
        <v>334</v>
      </c>
      <c r="K183" s="7">
        <f>_xlfn.XLOOKUP(A183,长度要求!A:A,长度要求!E:E)</f>
        <v>500</v>
      </c>
      <c r="L183" s="7" t="str">
        <f t="shared" si="14"/>
        <v>工作职责：1、负责所辖区域内的销售工作。2、定期拜访客户；收集客户订单。3、接受并协助公司处理客户投诉。4、定期反映市场信息；完成区域内销售任务；确保货款按时回收。基本要求：1、生物、医药、食品、环境、化学或营销类相关专业，专科及以上，35岁以下2、能吃苦，有开拓能力和敬业精神。3、为人诚恳，团队意识强。4、性格开朗,具有良好的人际沟通能力,有较强的客户服务意识。5、英语良好，能熟练使用电脑。6、有相关工作经验者优先考虑。公司福利：1、双休2、五险一金/带薪休假（随工龄增长）3、餐费补贴4、重视员工发展，定期提供系统的培训（优秀员工有出国培训机会）5、年度体检6、年度旅游7、依照法定执行节假日休息8、节日福利，新婚及生育津贴面试地点：上海投递简历时请附近照一张</v>
      </c>
      <c r="N183" s="7">
        <f t="shared" si="16"/>
        <v>0</v>
      </c>
      <c r="O183" s="7">
        <f t="shared" si="17"/>
        <v>0</v>
      </c>
    </row>
    <row r="184" spans="1:15">
      <c r="A184" s="7">
        <f t="shared" si="12"/>
        <v>1</v>
      </c>
      <c r="B184" s="7" t="s">
        <v>683</v>
      </c>
      <c r="C184" s="8" t="s">
        <v>684</v>
      </c>
      <c r="D184" s="7" t="s">
        <v>685</v>
      </c>
      <c r="E184" s="7">
        <v>10</v>
      </c>
      <c r="F184" s="7" t="s">
        <v>18</v>
      </c>
      <c r="G184" s="8" t="s">
        <v>686</v>
      </c>
      <c r="H184" s="7" t="s">
        <v>70</v>
      </c>
      <c r="I184" s="7" t="str">
        <f t="shared" si="15"/>
        <v>技术工人（学历：大专 专业要求：无）</v>
      </c>
      <c r="J184" s="7">
        <f t="shared" si="13"/>
        <v>22</v>
      </c>
      <c r="K184" s="7">
        <f>_xlfn.XLOOKUP(A184,长度要求!A:A,长度要求!E:E)</f>
        <v>500</v>
      </c>
      <c r="L184" s="7" t="str">
        <f t="shared" si="14"/>
        <v>机电一体化专业大专生技术工人岗金加工机修钳工</v>
      </c>
      <c r="N184" s="7">
        <f t="shared" si="16"/>
        <v>0</v>
      </c>
      <c r="O184" s="7">
        <f t="shared" si="17"/>
        <v>0</v>
      </c>
    </row>
    <row r="185" spans="1:15">
      <c r="A185" s="7">
        <f t="shared" si="12"/>
        <v>2</v>
      </c>
      <c r="B185" s="7" t="s">
        <v>687</v>
      </c>
      <c r="C185" s="8" t="s">
        <v>688</v>
      </c>
      <c r="D185" s="7" t="s">
        <v>689</v>
      </c>
      <c r="E185" s="7">
        <v>1</v>
      </c>
      <c r="F185" s="7" t="s">
        <v>18</v>
      </c>
      <c r="G185" s="8" t="s">
        <v>690</v>
      </c>
      <c r="H185" s="7" t="s">
        <v>480</v>
      </c>
      <c r="I185" s="7" t="str">
        <f t="shared" si="15"/>
        <v>计划管理实习生（学历：大专 专业要求：无）</v>
      </c>
      <c r="J185" s="7">
        <f t="shared" si="13"/>
        <v>491</v>
      </c>
      <c r="K185" s="7">
        <f>_xlfn.XLOOKUP(A185,长度要求!A:A,长度要求!E:E)</f>
        <v>500</v>
      </c>
      <c r="L185" s="7" t="str">
        <f t="shared" si="14"/>
        <v>岗位职责：1、负责初审、监督、再认证审核计划安排和变更调整（根据销售订单合理安排审核员（技术员）去企业现场出差行安排）；2、负责审核现场发生的变更及异常处理；3、负责核对数据及上报；4、负责领导交办的其他事务任职资格：1、大专及以上学历，有实习工作经历优先。2、工作踏实、耐心细致、思维清晰、做事有条理，能够承受一定工作压力；3、积极主动、具有良好的人际沟通能力、高度的工作热情、良好的团队合作精神；4、具有良好的内外部服务意识；5、期望你是26届毕业，准大三、准大四学生，学校没有课程的优先。期望一周至少可实习5天。可以接受从暑期开始实习！！！但是，期望至少实习4-6个月哦，只能暑假实习的不行哦。不提供住宿，可以看一下通勤是否方便哦。园区交通便利，多条班车线路（2号线广兰路）及地铁14号线可以直达。欢迎有意愿在认证行业长期发展的有志之士加入！！挪亚检测认证集团，99年成立，总部位于上海，全国14+办事处，2个海外子公司。公司集检测、检验、认证为一体的集团性公司。公司管理制度规范，晋升渠道透明。拥有带薪培训、年节礼物、车补餐补、司龄补贴等等丰厚福利。出勤朝九晚六，周末双休。</v>
      </c>
      <c r="N185" s="7">
        <f t="shared" si="16"/>
        <v>0</v>
      </c>
      <c r="O185" s="7">
        <f t="shared" si="17"/>
        <v>0</v>
      </c>
    </row>
    <row r="186" spans="1:15">
      <c r="A186" s="7">
        <f t="shared" si="12"/>
        <v>2</v>
      </c>
      <c r="B186" s="7" t="s">
        <v>691</v>
      </c>
      <c r="C186" s="8" t="s">
        <v>692</v>
      </c>
      <c r="D186" s="7" t="s">
        <v>693</v>
      </c>
      <c r="E186" s="7">
        <v>5</v>
      </c>
      <c r="F186" s="7" t="s">
        <v>18</v>
      </c>
      <c r="G186" s="8" t="s">
        <v>694</v>
      </c>
      <c r="H186" s="7" t="s">
        <v>695</v>
      </c>
      <c r="I186" s="7" t="str">
        <f t="shared" si="15"/>
        <v>智能化设备（学历：大专 专业要求：无）</v>
      </c>
      <c r="J186" s="7">
        <f t="shared" si="13"/>
        <v>89</v>
      </c>
      <c r="K186" s="7">
        <f>_xlfn.XLOOKUP(A186,长度要求!A:A,长度要求!E:E)</f>
        <v>500</v>
      </c>
      <c r="L186" s="7" t="str">
        <f t="shared" si="14"/>
        <v>岗位职责：使用智能化生产设备、完成钣金、铜排、折弯、下线等产品生产前置工序。岗位要求：1、大专及以上学历；2、机械、数控、智能制造等专业；3、具有团队协作能力、能吃苦耐劳者优先。</v>
      </c>
      <c r="N186" s="7">
        <f t="shared" si="16"/>
        <v>0</v>
      </c>
      <c r="O186" s="7">
        <f t="shared" si="17"/>
        <v>0</v>
      </c>
    </row>
    <row r="187" spans="1:15">
      <c r="A187" s="7">
        <f t="shared" si="12"/>
        <v>2</v>
      </c>
      <c r="B187" s="7" t="s">
        <v>691</v>
      </c>
      <c r="C187" s="8" t="s">
        <v>692</v>
      </c>
      <c r="D187" s="7" t="s">
        <v>696</v>
      </c>
      <c r="E187" s="7">
        <v>5</v>
      </c>
      <c r="F187" s="7" t="s">
        <v>18</v>
      </c>
      <c r="G187" s="8" t="s">
        <v>697</v>
      </c>
      <c r="H187" s="7" t="s">
        <v>698</v>
      </c>
      <c r="I187" s="7" t="str">
        <f t="shared" si="15"/>
        <v>技能人员储备（学历：大专 专业要求：无）</v>
      </c>
      <c r="J187" s="7">
        <f t="shared" si="13"/>
        <v>84</v>
      </c>
      <c r="K187" s="7">
        <f>_xlfn.XLOOKUP(A187,长度要求!A:A,长度要求!E:E)</f>
        <v>500</v>
      </c>
      <c r="L187" s="7" t="str">
        <f t="shared" si="14"/>
        <v>岗位职责：根据产品设计图纸，完成产品装配、接线等工序。岗位要求：1、大专及以上学历；2、电气类、机电类、自动化类、机械类等专业；3、具有团队协作能力、能吃苦耐劳者优先。</v>
      </c>
      <c r="N187" s="7">
        <f t="shared" si="16"/>
        <v>0</v>
      </c>
      <c r="O187" s="7">
        <f t="shared" si="17"/>
        <v>0</v>
      </c>
    </row>
    <row r="188" spans="1:15">
      <c r="A188" s="7">
        <f t="shared" si="12"/>
        <v>7</v>
      </c>
      <c r="B188" s="7" t="s">
        <v>647</v>
      </c>
      <c r="C188" s="8" t="s">
        <v>648</v>
      </c>
      <c r="D188" s="7" t="s">
        <v>699</v>
      </c>
      <c r="E188" s="7">
        <v>4</v>
      </c>
      <c r="F188" s="7" t="s">
        <v>192</v>
      </c>
      <c r="G188" s="8" t="s">
        <v>700</v>
      </c>
      <c r="H188" s="7" t="s">
        <v>280</v>
      </c>
      <c r="I188" s="7" t="str">
        <f t="shared" si="15"/>
        <v>管理储备干部（学历：本科 专业要求：无）</v>
      </c>
      <c r="J188" s="7">
        <f t="shared" si="13"/>
        <v>241</v>
      </c>
      <c r="K188" s="7">
        <f>_xlfn.XLOOKUP(A188,长度要求!A:A,长度要求!E:E)</f>
        <v>500</v>
      </c>
      <c r="L188" s="7" t="str">
        <f t="shared" si="14"/>
        <v>1、参与公司系统化培养计划，通过轮岗学习熟悉公司各业务模块（如生产、运营、市场、人力资源等）；2、协助部门负责人完成业务数据分析、流程优化及项目管理等工作；3、定期提交学习报告及改进建议，参与阶段性述职答辩；_x000b_4、学习团队管理方法论，逐步承担基层团队管理职责。1、具备快速学习能力与逻辑分析能力，能适应高强度工作节奏；2、具有优秀的人际沟通能力与团队协作精神；3、具备学生干部、社团负责人或大型项目组织经验者优先。薪资范围：6000-10000元+五险一金，优秀人员可留用，公司落户</v>
      </c>
      <c r="N188" s="7">
        <f t="shared" si="16"/>
        <v>0</v>
      </c>
      <c r="O188" s="7">
        <f t="shared" si="17"/>
        <v>0</v>
      </c>
    </row>
    <row r="189" spans="1:15">
      <c r="A189" s="7">
        <f t="shared" si="12"/>
        <v>3</v>
      </c>
      <c r="B189" s="7" t="s">
        <v>105</v>
      </c>
      <c r="C189" s="8" t="s">
        <v>106</v>
      </c>
      <c r="D189" s="7" t="s">
        <v>701</v>
      </c>
      <c r="E189" s="7">
        <v>1</v>
      </c>
      <c r="F189" s="7" t="s">
        <v>18</v>
      </c>
      <c r="G189" s="8" t="s">
        <v>702</v>
      </c>
      <c r="H189" s="7" t="s">
        <v>55</v>
      </c>
      <c r="I189" s="7" t="str">
        <f t="shared" si="15"/>
        <v>总经理助理（学历：大专 专业要求：无）</v>
      </c>
      <c r="J189" s="7">
        <f t="shared" si="13"/>
        <v>165</v>
      </c>
      <c r="K189" s="7">
        <f>_xlfn.XLOOKUP(A189,长度要求!A:A,长度要求!E:E)</f>
        <v>500</v>
      </c>
      <c r="L189" s="7" t="str">
        <f t="shared" si="14"/>
        <v>工作内容：1.负责公司推广、项目规划以及日常运营。2.制定公司激励制度以及奖惩制度，做好公司内部人员管理。3.协助项目经理做好成本控制以及公司整体运营成本。辅助总经理对外商务洽谈，对内人员管理以及项目管理与核查。任职要求：1.有团队管理经验，负责过企业或学校的团队管理。2.从事过广告或会展行业者优先。福利：一年20天以上带薪休假</v>
      </c>
      <c r="N189" s="7">
        <f t="shared" si="16"/>
        <v>0</v>
      </c>
      <c r="O189" s="7">
        <f t="shared" si="17"/>
        <v>0</v>
      </c>
    </row>
    <row r="190" spans="1:15">
      <c r="A190" s="7">
        <f t="shared" si="12"/>
        <v>5</v>
      </c>
      <c r="B190" s="7" t="s">
        <v>323</v>
      </c>
      <c r="C190" s="8" t="s">
        <v>324</v>
      </c>
      <c r="D190" s="7" t="s">
        <v>703</v>
      </c>
      <c r="E190" s="7">
        <v>3</v>
      </c>
      <c r="F190" s="7" t="s">
        <v>18</v>
      </c>
      <c r="G190" s="8" t="s">
        <v>704</v>
      </c>
      <c r="H190" s="7" t="s">
        <v>176</v>
      </c>
      <c r="I190" s="7" t="str">
        <f t="shared" si="15"/>
        <v>新车销售顾问（学历：大专 专业要求：无）</v>
      </c>
      <c r="J190" s="7">
        <f t="shared" si="13"/>
        <v>190</v>
      </c>
      <c r="K190" s="7">
        <f>_xlfn.XLOOKUP(A190,长度要求!A:A,长度要求!E:E)</f>
        <v>500</v>
      </c>
      <c r="L190" s="7" t="str">
        <f t="shared" si="14"/>
        <v>1、Volvo汽车市场拓展：（1）有效执行公司的各类营销策略；（2）开发潜在目标群体或客户，按时完成销量指标。2、Volvo汽车销售服务：（1）负责按公司规范流程接待客户；（2）负责向客户提供优质的咨询、售车服务、配套服务等，达成销售目标；（3）协助客户办理车辆销售的相关手续；（4）积极上报并解决售车过程中出现的问题；（5）负责对已成交客户进行跟踪服务。3、领导交办的其他工作。</v>
      </c>
      <c r="N190" s="7">
        <f t="shared" si="16"/>
        <v>0</v>
      </c>
      <c r="O190" s="7">
        <f t="shared" si="17"/>
        <v>0</v>
      </c>
    </row>
    <row r="191" spans="1:15">
      <c r="A191" s="7">
        <f t="shared" si="12"/>
        <v>3</v>
      </c>
      <c r="B191" s="7" t="s">
        <v>105</v>
      </c>
      <c r="C191" s="8" t="s">
        <v>106</v>
      </c>
      <c r="D191" s="7" t="s">
        <v>705</v>
      </c>
      <c r="E191" s="7">
        <v>1</v>
      </c>
      <c r="F191" s="7" t="s">
        <v>18</v>
      </c>
      <c r="G191" s="8" t="s">
        <v>706</v>
      </c>
      <c r="H191" s="7" t="s">
        <v>55</v>
      </c>
      <c r="I191" s="7" t="str">
        <f t="shared" si="15"/>
        <v>广告设计（学历：大专 专业要求：无）</v>
      </c>
      <c r="J191" s="7">
        <f t="shared" si="13"/>
        <v>330</v>
      </c>
      <c r="K191" s="7">
        <f>_xlfn.XLOOKUP(A191,长度要求!A:A,长度要求!E:E)</f>
        <v>500</v>
      </c>
      <c r="L191" s="7" t="str">
        <f t="shared" si="14"/>
        <v>工作内容：1、负责企业宣传资料（如画册、海报、易拉宝、展板）的平面设计，结合品牌定位进行视觉呈现。使用设计软件（AdobePhotoshop、AdobeIllustrator等）进行图片处理、排版设计等工作。2、负责协助短视频、宣传片、活动记录等内容的剪辑和后期制作，确保视频内容流程，视觉效果突出，协助团队完成视频创意策划。3、协助团队完成其他文化传播、活动策划相关的工作。任职要求：1、艺术设计、视觉传达、广告学等相关专业大专及以上学历。2、熟悉广告设计原理、印刷工艺及数字媒体特性3、精通Photoshop、Illustrator、CorelDRAW等平面设计工具，掌握AE/PR（视频剪辑）、InDesign（排版）者优先。福利：一年20天以上带薪休假</v>
      </c>
      <c r="N191" s="7">
        <f t="shared" si="16"/>
        <v>0</v>
      </c>
      <c r="O191" s="7">
        <f t="shared" si="17"/>
        <v>0</v>
      </c>
    </row>
    <row r="192" spans="1:15">
      <c r="A192" s="7">
        <f t="shared" si="12"/>
        <v>3</v>
      </c>
      <c r="B192" s="7" t="s">
        <v>100</v>
      </c>
      <c r="C192" s="8" t="s">
        <v>101</v>
      </c>
      <c r="D192" s="7" t="s">
        <v>701</v>
      </c>
      <c r="E192" s="7">
        <v>1</v>
      </c>
      <c r="F192" s="7" t="s">
        <v>192</v>
      </c>
      <c r="G192" s="8" t="s">
        <v>707</v>
      </c>
      <c r="H192" s="7" t="s">
        <v>588</v>
      </c>
      <c r="I192" s="7" t="str">
        <f t="shared" si="15"/>
        <v>总经理助理（学历：本科 专业要求：法学,中国语言与文化,应用语言学,汉语言文学）</v>
      </c>
      <c r="J192" s="7">
        <f t="shared" si="13"/>
        <v>435</v>
      </c>
      <c r="K192" s="7">
        <f>_xlfn.XLOOKUP(A192,长度要求!A:A,长度要求!E:E)</f>
        <v>500</v>
      </c>
      <c r="L192" s="7" t="str">
        <f t="shared" si="14"/>
        <v>职位描述1、学习互联网广告公司（抖音、必应等）产品的理念、功能、应用场景及落地；2、学习公司理念和团队管理，项目执行落地经验；3、总经理直接带教，出席各种商业谈判和沙龙，拓宽高端人脉；4、负责公司内部各部门负责人之间的沟通协调，以达到高效推进项目，解决问题；5、迅速从基层向中层管理岗蜕变，能独立承接业务并完成业务输出；6、关注客户的使用情况，为客户提供运营支持服务，提高客户组织的活跃度；7、完成上级领导交代的其他任务；职位要求1、统招一本本科学历，985/211院校，工作经验1年及以上，互联网广告行业经验优先；2、有非常强的学习能力，较强的文字功底，形象气质佳；3、价值观正向、开放热情，对商业、组织有强烈的好奇心；4、较强的思考及创造力，能够超出现有框架提出并落地增值建议；5、对为客户创造价值有浓厚的兴趣；6、喜欢接受挑战、喜欢创新与实践，勤于思考；7、有非常好的表达能力，逻辑清晰、语言干练，普通话标准；8、较强的资源协调能力、合作能力、善于沟通、自驱力强；</v>
      </c>
      <c r="M192" s="7" t="s">
        <v>708</v>
      </c>
      <c r="N192" s="7">
        <f t="shared" si="16"/>
        <v>22</v>
      </c>
      <c r="O192" s="7">
        <f t="shared" si="17"/>
        <v>4</v>
      </c>
    </row>
    <row r="193" spans="1:15">
      <c r="A193" s="7">
        <f t="shared" si="12"/>
        <v>3</v>
      </c>
      <c r="B193" s="7" t="s">
        <v>100</v>
      </c>
      <c r="C193" s="8" t="s">
        <v>101</v>
      </c>
      <c r="D193" s="7" t="s">
        <v>709</v>
      </c>
      <c r="E193" s="7">
        <v>10</v>
      </c>
      <c r="F193" s="7" t="s">
        <v>18</v>
      </c>
      <c r="G193" s="8" t="s">
        <v>710</v>
      </c>
      <c r="H193" s="7" t="s">
        <v>55</v>
      </c>
      <c r="I193" s="7" t="str">
        <f t="shared" si="15"/>
        <v>360广告销售（学历：大专 专业要求：无）</v>
      </c>
      <c r="J193" s="7">
        <f t="shared" si="13"/>
        <v>249</v>
      </c>
      <c r="K193" s="7">
        <f>_xlfn.XLOOKUP(A193,长度要求!A:A,长度要求!E:E)</f>
        <v>500</v>
      </c>
      <c r="L193" s="7" t="str">
        <f t="shared" si="14"/>
        <v>岗位职责：1、负责开发360搜索推广的B端广告客户的开拓；2、针对客户的常规和突发问题，有良好的分析、判断及独立解决问题的能力；3、对互联网行业新生产品或事物保持敏感度，时刻了解掌握全行业最新动态及竞品信息；4、具备良好的沟通表达能力、出色的公关客情的能力，并能对客户进行长期维护回访；5、与各团队保持良好沟通，建立深度关系，深度了解公司产业业务及相关知识。任职要求：1、学历不限，可接受优秀新人和实习生；2、性格开朗，愿意与人沟通交流，愿意挑战高薪；3、实习生可以提供免费住宿，正式工可酌情商量。</v>
      </c>
      <c r="N193" s="7">
        <f t="shared" si="16"/>
        <v>0</v>
      </c>
      <c r="O193" s="7">
        <f t="shared" si="17"/>
        <v>0</v>
      </c>
    </row>
    <row r="194" spans="1:15">
      <c r="A194" s="7">
        <f t="shared" ref="A194:A257" si="18">COUNTIF(B:B,B194)</f>
        <v>5</v>
      </c>
      <c r="B194" s="7" t="s">
        <v>598</v>
      </c>
      <c r="C194" s="8" t="s">
        <v>599</v>
      </c>
      <c r="D194" s="7" t="s">
        <v>711</v>
      </c>
      <c r="E194" s="7">
        <v>3</v>
      </c>
      <c r="F194" s="7" t="s">
        <v>18</v>
      </c>
      <c r="G194" s="8" t="s">
        <v>712</v>
      </c>
      <c r="H194" s="7" t="s">
        <v>62</v>
      </c>
      <c r="I194" s="7" t="str">
        <f t="shared" si="15"/>
        <v>机械工程师（学历：大专 专业要求：无）</v>
      </c>
      <c r="J194" s="7">
        <f t="shared" ref="J194:J257" si="19">LEN(G194)</f>
        <v>57</v>
      </c>
      <c r="K194" s="7">
        <f>_xlfn.XLOOKUP(A194,长度要求!A:A,长度要求!E:E)</f>
        <v>500</v>
      </c>
      <c r="L194" s="7" t="str">
        <f t="shared" ref="L194:L257" si="20">IF(J194&lt;K194,G194,LEFT(G194,K194)&amp;"……")</f>
        <v>1.设备的安装与调试，故障维护与维修。2.设备售后服务，处理客户投诉，提高客户满意度。3.负责设备技术文件的编写。</v>
      </c>
      <c r="N194" s="7">
        <f t="shared" si="16"/>
        <v>0</v>
      </c>
      <c r="O194" s="7">
        <f t="shared" si="17"/>
        <v>0</v>
      </c>
    </row>
    <row r="195" spans="1:15">
      <c r="A195" s="7">
        <f t="shared" si="18"/>
        <v>1</v>
      </c>
      <c r="B195" s="7" t="s">
        <v>713</v>
      </c>
      <c r="C195" s="8" t="s">
        <v>714</v>
      </c>
      <c r="D195" s="7" t="s">
        <v>715</v>
      </c>
      <c r="E195" s="7">
        <v>10</v>
      </c>
      <c r="F195" s="7" t="s">
        <v>27</v>
      </c>
      <c r="G195" s="8" t="s">
        <v>716</v>
      </c>
      <c r="H195" s="7" t="s">
        <v>97</v>
      </c>
      <c r="I195" s="7" t="str">
        <f t="shared" ref="I195:I258" si="21">_xlfn.CONCAT(D195,"（学历：",F195," 专业要求：",IF(ISBLANK(M195),"无",M195),"）")</f>
        <v>游戏3D美术设计师（学历：初中及以下 专业要求：无）</v>
      </c>
      <c r="J195" s="7">
        <f t="shared" si="19"/>
        <v>131</v>
      </c>
      <c r="K195" s="7">
        <f>_xlfn.XLOOKUP(A195,长度要求!A:A,长度要求!E:E)</f>
        <v>500</v>
      </c>
      <c r="L195" s="7" t="str">
        <f t="shared" si="20"/>
        <v>岗位职责：1、负责游戏中的角色制作或场景制作，包括模型，贴图和灯光渲染等；2、协同原画，创造高品质的游戏角色，确保设计效果和实现品质一致任职要求：1、统招本科以上学历，美术相关专业毕业，具备扎实的美术功底；2、对游戏行业富有热情，具有良好的沟通能力与团队合作精神</v>
      </c>
      <c r="N195" s="7">
        <f t="shared" ref="N195:N258" si="22">LEN(M195)</f>
        <v>0</v>
      </c>
      <c r="O195" s="7">
        <f t="shared" ref="O195:O258" si="23">IF(ISBLANK(M195),0,COUNTA(_xlfn.TEXTSPLIT(M195,",")))</f>
        <v>0</v>
      </c>
    </row>
    <row r="196" spans="1:15">
      <c r="A196" s="7">
        <f t="shared" si="18"/>
        <v>8</v>
      </c>
      <c r="B196" s="7" t="s">
        <v>717</v>
      </c>
      <c r="C196" s="8" t="s">
        <v>718</v>
      </c>
      <c r="D196" s="7" t="s">
        <v>592</v>
      </c>
      <c r="E196" s="7">
        <v>5</v>
      </c>
      <c r="F196" s="7" t="s">
        <v>192</v>
      </c>
      <c r="G196" s="8" t="s">
        <v>719</v>
      </c>
      <c r="H196" s="7" t="s">
        <v>316</v>
      </c>
      <c r="I196" s="7" t="str">
        <f t="shared" si="21"/>
        <v>管培生（学历：本科 专业要求：无）</v>
      </c>
      <c r="J196" s="7">
        <f t="shared" si="19"/>
        <v>194</v>
      </c>
      <c r="K196" s="7">
        <f>_xlfn.XLOOKUP(A196,长度要求!A:A,长度要求!E:E)</f>
        <v>500</v>
      </c>
      <c r="L196" s="7" t="str">
        <f t="shared" si="20"/>
        <v>职位需求:1.性格开朗、英语口语好，适应全球出差、具有良好的审美意识和沟通能力；2.在社会实践中做过相关的工作，热爱销售，从业过会展行业、在校学生会做过干部可优先；薪资福利待遇：1.实习期间按天计算，试用期7-10K,转正后年收入15W+；2.可协助落户上海；3.拥有了解各国文化及风土人情的机会，拓展全球化视野；4.工作环境及氛围Open，活动多样，师带徒的培养模式，助力新人扎根企业。</v>
      </c>
      <c r="N196" s="7">
        <f t="shared" si="22"/>
        <v>0</v>
      </c>
      <c r="O196" s="7">
        <f t="shared" si="23"/>
        <v>0</v>
      </c>
    </row>
    <row r="197" spans="1:15">
      <c r="A197" s="7">
        <f t="shared" si="18"/>
        <v>4</v>
      </c>
      <c r="B197" s="7" t="s">
        <v>720</v>
      </c>
      <c r="C197" s="8" t="s">
        <v>721</v>
      </c>
      <c r="D197" s="7" t="s">
        <v>722</v>
      </c>
      <c r="E197" s="7">
        <v>20</v>
      </c>
      <c r="F197" s="7" t="s">
        <v>18</v>
      </c>
      <c r="G197" s="8" t="s">
        <v>723</v>
      </c>
      <c r="H197" s="7" t="s">
        <v>724</v>
      </c>
      <c r="I197" s="7" t="str">
        <f t="shared" si="21"/>
        <v>门店协同实习生（学历：大专 专业要求：无）</v>
      </c>
      <c r="J197" s="7">
        <f t="shared" si="19"/>
        <v>184</v>
      </c>
      <c r="K197" s="7">
        <f>_xlfn.XLOOKUP(A197,长度要求!A:A,长度要求!E:E)</f>
        <v>500</v>
      </c>
      <c r="L197" s="7" t="str">
        <f t="shared" si="20"/>
        <v>职位描述:1.辅助店长进行门店管理工作2.负责门店接待流程和试驾流程的规范监管3.负责门店对外运营对接工作,如:商场方,活动对接方4.门店物料的统筹与管理职位要求1.全日制本科及以上学历,专业不限2.有汽车销售或展厅运营经历优先3.有亲和力和责任心,注重细节,有较强的团队合作能力;4.对汽车行业、蔚来品牌定位、企业理念和产品知识具有极高的热情5.能适应灵活的工作安排</v>
      </c>
      <c r="N197" s="7">
        <f t="shared" si="22"/>
        <v>0</v>
      </c>
      <c r="O197" s="7">
        <f t="shared" si="23"/>
        <v>0</v>
      </c>
    </row>
    <row r="198" spans="1:15">
      <c r="A198" s="7">
        <f t="shared" si="18"/>
        <v>4</v>
      </c>
      <c r="B198" s="7" t="s">
        <v>720</v>
      </c>
      <c r="C198" s="8" t="s">
        <v>721</v>
      </c>
      <c r="D198" s="7" t="s">
        <v>725</v>
      </c>
      <c r="E198" s="7">
        <v>60</v>
      </c>
      <c r="F198" s="7" t="s">
        <v>18</v>
      </c>
      <c r="G198" s="8" t="s">
        <v>726</v>
      </c>
      <c r="H198" s="7" t="s">
        <v>724</v>
      </c>
      <c r="I198" s="7" t="str">
        <f t="shared" si="21"/>
        <v>蔚来顾问实习生（学历：大专 专业要求：无）</v>
      </c>
      <c r="J198" s="7">
        <f t="shared" si="19"/>
        <v>204</v>
      </c>
      <c r="K198" s="7">
        <f>_xlfn.XLOOKUP(A198,长度要求!A:A,长度要求!E:E)</f>
        <v>500</v>
      </c>
      <c r="L198" s="7" t="str">
        <f t="shared" si="20"/>
        <v>（全上海门店就近分配）职位描述:1.用户接待,增强现有用户品牌忠诚度;2.准确地向用户传递并耐心讲解蔚来品牌与产品,并传递蔚来价值观;3.根据销售策略和团队目标,制定工作计划,销售目的达成;4.开展营销活动,不断创新、积极主动地吸引潜在用户。职位要求1.统招全日制本科及以上学历在读，26届以后;2.有驾照,驾驶技术熟练;3.优秀的沟通能力和谈判能力及自我学习能力;4.可实习3-6个月,每周至少出勤3-4天</v>
      </c>
      <c r="N198" s="7">
        <f t="shared" si="22"/>
        <v>0</v>
      </c>
      <c r="O198" s="7">
        <f t="shared" si="23"/>
        <v>0</v>
      </c>
    </row>
    <row r="199" spans="1:15">
      <c r="A199" s="7">
        <f t="shared" si="18"/>
        <v>1</v>
      </c>
      <c r="B199" s="7" t="s">
        <v>727</v>
      </c>
      <c r="C199" s="8" t="s">
        <v>728</v>
      </c>
      <c r="D199" s="7" t="s">
        <v>729</v>
      </c>
      <c r="E199" s="7">
        <v>20</v>
      </c>
      <c r="F199" s="7" t="s">
        <v>192</v>
      </c>
      <c r="G199" s="8" t="s">
        <v>730</v>
      </c>
      <c r="H199" s="7" t="s">
        <v>731</v>
      </c>
      <c r="I199" s="7" t="str">
        <f t="shared" si="21"/>
        <v>营业担当-上海（学历：本科 专业要求：市场营销,日语）</v>
      </c>
      <c r="J199" s="7">
        <f t="shared" si="19"/>
        <v>273</v>
      </c>
      <c r="K199" s="7">
        <f>_xlfn.XLOOKUP(A199,长度要求!A:A,长度要求!E:E)</f>
        <v>500</v>
      </c>
      <c r="L199" s="7" t="str">
        <f t="shared" si="20"/>
        <v>招聘要求：1、会日语优先2、思想品行端正、工作态度踏实、身体素质良好、学习欲望强烈3、性格活泼开朗，善于沟通交流和协调人际关系，具有团队意识4、熟练操作常用办公软件5、热爱烘焙行业和本职工作工作内容：1、定期拜访客户，推荐最新产品，了解客户需求2、满足客户的业务需求，协调各方保障客户的订货流程正常进行3、配合财务的货款回收工作，及时提醒和督促不及时履行付款义务的客户4、收集市场情报、掌握行业动态，规划和制定合理的销售路线和计划5、维护好现有客户的基础之上，积极开发新客户和经销商，拓宽销售渠道6、努力完成个人销售任务，确保公司完成年度销售目标</v>
      </c>
      <c r="M199" s="7" t="s">
        <v>732</v>
      </c>
      <c r="N199" s="7">
        <f t="shared" si="22"/>
        <v>7</v>
      </c>
      <c r="O199" s="7">
        <f t="shared" si="23"/>
        <v>2</v>
      </c>
    </row>
    <row r="200" spans="1:15">
      <c r="A200" s="7">
        <f t="shared" si="18"/>
        <v>4</v>
      </c>
      <c r="B200" s="7" t="s">
        <v>15</v>
      </c>
      <c r="C200" s="8" t="s">
        <v>16</v>
      </c>
      <c r="D200" s="7" t="s">
        <v>733</v>
      </c>
      <c r="E200" s="7">
        <v>50</v>
      </c>
      <c r="F200" s="7" t="s">
        <v>18</v>
      </c>
      <c r="G200" s="8" t="s">
        <v>734</v>
      </c>
      <c r="H200" s="7" t="s">
        <v>70</v>
      </c>
      <c r="I200" s="7" t="str">
        <f t="shared" si="21"/>
        <v>助理制造工程师（学历：大专 专业要求：无）</v>
      </c>
      <c r="J200" s="7">
        <f t="shared" si="19"/>
        <v>208</v>
      </c>
      <c r="K200" s="7">
        <f>_xlfn.XLOOKUP(A200,长度要求!A:A,长度要求!E:E)</f>
        <v>500</v>
      </c>
      <c r="L200" s="7" t="str">
        <f t="shared" si="20"/>
        <v>工作职责1、参与处理芯片产品和设备异常、资材短缺等变动情况，应用各种自动化系统，确保生产线持续平顺运行和交付；2、严格执行质量管理制度，对生产中的品质问题进行监督和控制；3、严格执行安全管理制度，确保生产现场人员和设备的安全。任职要求1、大专以上学历，电子信息、机械自动化等理工科相关专业优先；2、了解半导体工艺制造流程；3、具备良好的沟通能力和团队合作精神，具备独立工作、分析和解决问题的能力；4、能接受日夜轮班。</v>
      </c>
      <c r="N200" s="7">
        <f t="shared" si="22"/>
        <v>0</v>
      </c>
      <c r="O200" s="7">
        <f t="shared" si="23"/>
        <v>0</v>
      </c>
    </row>
    <row r="201" spans="1:15">
      <c r="A201" s="7">
        <f t="shared" si="18"/>
        <v>6</v>
      </c>
      <c r="B201" s="7" t="s">
        <v>455</v>
      </c>
      <c r="C201" s="8" t="s">
        <v>456</v>
      </c>
      <c r="D201" s="7" t="s">
        <v>735</v>
      </c>
      <c r="E201" s="7">
        <v>3</v>
      </c>
      <c r="F201" s="7" t="s">
        <v>192</v>
      </c>
      <c r="G201" s="8" t="s">
        <v>736</v>
      </c>
      <c r="H201" s="7" t="s">
        <v>97</v>
      </c>
      <c r="I201" s="7" t="str">
        <f t="shared" si="21"/>
        <v>艺术设计类（学历：本科 专业要求：无）</v>
      </c>
      <c r="J201" s="7">
        <f t="shared" si="19"/>
        <v>146</v>
      </c>
      <c r="K201" s="7">
        <f>_xlfn.XLOOKUP(A201,长度要求!A:A,长度要求!E:E)</f>
        <v>500</v>
      </c>
      <c r="L201" s="7" t="str">
        <f t="shared" si="20"/>
        <v>培养方向：平面设计师、工业设计师岗位要求：①2026届毕业生，本科及以上学历；②美术设计、视觉设计、平面设计、工业设计或产品设计等相关专业优先；③执行力强，能够迅速应变、高效完成设计需求；④良好的沟通能力及执行力，较强的团队协作能力；④扎实的美术功底，良好的设计表现力，良好的创意思维及审美。</v>
      </c>
      <c r="N201" s="7">
        <f t="shared" si="22"/>
        <v>0</v>
      </c>
      <c r="O201" s="7">
        <f t="shared" si="23"/>
        <v>0</v>
      </c>
    </row>
    <row r="202" spans="1:15">
      <c r="A202" s="7">
        <f t="shared" si="18"/>
        <v>8</v>
      </c>
      <c r="B202" s="7" t="s">
        <v>717</v>
      </c>
      <c r="C202" s="8" t="s">
        <v>718</v>
      </c>
      <c r="D202" s="7" t="s">
        <v>737</v>
      </c>
      <c r="E202" s="7">
        <v>1</v>
      </c>
      <c r="F202" s="7" t="s">
        <v>192</v>
      </c>
      <c r="G202" s="8" t="s">
        <v>738</v>
      </c>
      <c r="H202" s="7" t="s">
        <v>480</v>
      </c>
      <c r="I202" s="7" t="str">
        <f t="shared" si="21"/>
        <v>文案编辑（学历：本科 专业要求：无）</v>
      </c>
      <c r="J202" s="7">
        <f t="shared" si="19"/>
        <v>217</v>
      </c>
      <c r="K202" s="7">
        <f>_xlfn.XLOOKUP(A202,长度要求!A:A,长度要求!E:E)</f>
        <v>500</v>
      </c>
      <c r="L202" s="7" t="str">
        <f t="shared" si="20"/>
        <v>岗位职责：-负责视频剪辑相关工作，熟练运用视频剪辑软件进行视频制作。-完成基础版面设计任务，助力品牌宣传物料呈现。-独立撰写各类文案，发挥良好文字功底，展现品牌特色与优势。任职要求：-大学二、三在读学生优先，文科、文学或相关文科专业优先考虑。-每周工作时间不少于3天，能保证实习工作的稳定开展。-熟练掌握视频剪辑软件操作，具备一定的版面设计基础，有较强的文案撰写能力。-学习能力强，有责任心，对企宣品牌宣传工作有热情，具备团队协作精神</v>
      </c>
      <c r="N202" s="7">
        <f t="shared" si="22"/>
        <v>0</v>
      </c>
      <c r="O202" s="7">
        <f t="shared" si="23"/>
        <v>0</v>
      </c>
    </row>
    <row r="203" spans="1:15">
      <c r="A203" s="7">
        <f t="shared" si="18"/>
        <v>5</v>
      </c>
      <c r="B203" s="7" t="s">
        <v>63</v>
      </c>
      <c r="C203" s="8" t="s">
        <v>64</v>
      </c>
      <c r="D203" s="7" t="s">
        <v>739</v>
      </c>
      <c r="E203" s="7">
        <v>2</v>
      </c>
      <c r="F203" s="7" t="s">
        <v>18</v>
      </c>
      <c r="G203" s="8" t="s">
        <v>740</v>
      </c>
      <c r="H203" s="7" t="s">
        <v>741</v>
      </c>
      <c r="I203" s="7" t="str">
        <f t="shared" si="21"/>
        <v>货代商务/市场专员（实习生）（学历：大专 专业要求：无）</v>
      </c>
      <c r="J203" s="7">
        <f t="shared" si="19"/>
        <v>378</v>
      </c>
      <c r="K203" s="7">
        <f>_xlfn.XLOOKUP(A203,长度要求!A:A,长度要求!E:E)</f>
        <v>500</v>
      </c>
      <c r="L203" s="7" t="str">
        <f t="shared" si="20"/>
        <v>岗位职责：1、根据不同渠道维护已有船公司、庄家等供应商；2、根据不同渠道开发新的船公司、庄家等供应商；3、承接海外销售部及本地销售同事的询价；4、收集市场信息，负责航线价格体系的维护和完善，定期更新市场价格体系；5、及时在公司内部做市场信息公布，如航线运价走势，各船公司对于运价及载货方面的新规定；6、及时解决仓位，操作异常等突发事件；7、及时完成上级交办的其他工作。薪资待遇：1、合理优厚的薪金：基本工资+绩效奖金+补贴+年终奖等,2、完善的假期组合：带薪年假、带薪病假及法定假期；3、齐全的福利体系：养老保险、医疗保险+补充医疗保险、生育保险、工伤保险、失业保险及住房公积金；4、丰富多彩的员工活动：员工聚餐、节日晚会、旅游活动、优秀员工表彰活动等；5、多元化培训课程：带薪岗前培训，在职个人提升计划；6、良好晋升机会：内部转职（横向发展）、纵向提升；</v>
      </c>
      <c r="N203" s="7">
        <f t="shared" si="22"/>
        <v>0</v>
      </c>
      <c r="O203" s="7">
        <f t="shared" si="23"/>
        <v>0</v>
      </c>
    </row>
    <row r="204" spans="1:15">
      <c r="A204" s="7">
        <f t="shared" si="18"/>
        <v>3</v>
      </c>
      <c r="B204" s="7" t="s">
        <v>742</v>
      </c>
      <c r="C204" s="8" t="s">
        <v>743</v>
      </c>
      <c r="D204" s="7" t="s">
        <v>649</v>
      </c>
      <c r="E204" s="7">
        <v>20</v>
      </c>
      <c r="F204" s="7" t="s">
        <v>192</v>
      </c>
      <c r="G204" s="8" t="s">
        <v>744</v>
      </c>
      <c r="H204" s="7" t="s">
        <v>77</v>
      </c>
      <c r="I204" s="7" t="str">
        <f t="shared" si="21"/>
        <v>销售管培生（学历：本科 专业要求：无）</v>
      </c>
      <c r="J204" s="7">
        <f t="shared" si="19"/>
        <v>785</v>
      </c>
      <c r="K204" s="7">
        <f>_xlfn.XLOOKUP(A204,长度要求!A:A,长度要求!E:E)</f>
        <v>500</v>
      </c>
      <c r="L204" s="7" t="str">
        <f t="shared" si="20"/>
        <v>“三枪未来之星”管培生项目介绍“铸未来”是一种态度，也是一种能力的体现。“三枪未来之星”管培生项目志在吸纳、培养一批充满热血有干劲的大学生，通过零售工作实践变身多面手，三年内掌握经营百万营收店铺所需要的技能，逐步发展成为分公司经理——区域经理——三枪品牌合伙人。我们提倡完全实力主义，一切让能力和才华说话。你将走上零售行业发展的快车道，我们将和你一起挖掘潜力，打破边界，拥抱多元，实现价值。具体来说，工作职责包括：1.学习和掌握公司的产品和服务，了解行业趋势和市场需求；2.负责公司店铺资源的开发和运营，并建立和维护良好的客户关系；3.参与销售计划的制定和执行，制定合理的销售策略和计划；4.收集客户需求和市场信息，对市场变化做出快速响应；5.参与竞品分析和市场调研，为公司的销售策略提供数据支持和市场洞察。如果你是：1.2023/2024届本科及以上学历（市场营销、纺织类相关等专业尤佳）；2.亲和力、自驱力、学习力、应变力强；3.条理清楚、思维敏捷、积极进取、吃苦耐劳；4.热爱时尚、服装零售行业；5.能接受常驻外地工作，并认同公司的战略和人才培养规划。全国分公司所处位置：北京、浙江杭州、江苏南……</v>
      </c>
      <c r="N204" s="7">
        <f t="shared" si="22"/>
        <v>0</v>
      </c>
      <c r="O204" s="7">
        <f t="shared" si="23"/>
        <v>0</v>
      </c>
    </row>
    <row r="205" spans="1:15">
      <c r="A205" s="7">
        <f t="shared" si="18"/>
        <v>1</v>
      </c>
      <c r="B205" s="7" t="s">
        <v>745</v>
      </c>
      <c r="C205" s="8" t="s">
        <v>746</v>
      </c>
      <c r="D205" s="7" t="s">
        <v>747</v>
      </c>
      <c r="E205" s="7">
        <v>3</v>
      </c>
      <c r="F205" s="7" t="s">
        <v>18</v>
      </c>
      <c r="G205" s="8" t="s">
        <v>748</v>
      </c>
      <c r="H205" s="7" t="s">
        <v>495</v>
      </c>
      <c r="I205" s="7" t="str">
        <f t="shared" si="21"/>
        <v>后期制作（学历：大专 专业要求：无）</v>
      </c>
      <c r="J205" s="7">
        <f t="shared" si="19"/>
        <v>33</v>
      </c>
      <c r="K205" s="7">
        <f>_xlfn.XLOOKUP(A205,长度要求!A:A,长度要求!E:E)</f>
        <v>500</v>
      </c>
      <c r="L205" s="7" t="str">
        <f t="shared" si="20"/>
        <v>工作认真，会用AEPrps,熟悉影视的流程，听从领导安排，工作积极</v>
      </c>
      <c r="N205" s="7">
        <f t="shared" si="22"/>
        <v>0</v>
      </c>
      <c r="O205" s="7">
        <f t="shared" si="23"/>
        <v>0</v>
      </c>
    </row>
    <row r="206" spans="1:15">
      <c r="A206" s="7">
        <f t="shared" si="18"/>
        <v>6</v>
      </c>
      <c r="B206" s="7" t="s">
        <v>749</v>
      </c>
      <c r="C206" s="8" t="s">
        <v>750</v>
      </c>
      <c r="D206" s="7" t="s">
        <v>751</v>
      </c>
      <c r="E206" s="7">
        <v>50</v>
      </c>
      <c r="F206" s="7" t="s">
        <v>18</v>
      </c>
      <c r="G206" s="8" t="s">
        <v>752</v>
      </c>
      <c r="H206" s="7" t="s">
        <v>484</v>
      </c>
      <c r="I206" s="7" t="str">
        <f t="shared" si="21"/>
        <v>新媒体运营实习生/新媒体运营助理（学历：大专 专业要求：无）</v>
      </c>
      <c r="J206" s="7">
        <f t="shared" si="19"/>
        <v>113</v>
      </c>
      <c r="K206" s="7">
        <f>_xlfn.XLOOKUP(A206,长度要求!A:A,长度要求!E:E)</f>
        <v>500</v>
      </c>
      <c r="L206" s="7" t="str">
        <f t="shared" si="20"/>
        <v>薪酬：岗位薪资+不封顶提成六险一金：六险一金（养老保险、医疗保险、工伤保险、失业保险、生育保险、商业保险、住房公积金）假期：国家法定节假日及带薪年假其他福利：年度免费体检、节日礼包、优惠内购、餐补、打车补贴、健身房、健康小屋等</v>
      </c>
      <c r="N206" s="7">
        <f t="shared" si="22"/>
        <v>0</v>
      </c>
      <c r="O206" s="7">
        <f t="shared" si="23"/>
        <v>0</v>
      </c>
    </row>
    <row r="207" spans="1:15">
      <c r="A207" s="7">
        <f t="shared" si="18"/>
        <v>6</v>
      </c>
      <c r="B207" s="7" t="s">
        <v>749</v>
      </c>
      <c r="C207" s="8" t="s">
        <v>750</v>
      </c>
      <c r="D207" s="7" t="s">
        <v>753</v>
      </c>
      <c r="E207" s="7">
        <v>10</v>
      </c>
      <c r="F207" s="7" t="s">
        <v>18</v>
      </c>
      <c r="G207" s="8" t="s">
        <v>754</v>
      </c>
      <c r="H207" s="7" t="s">
        <v>29</v>
      </c>
      <c r="I207" s="7" t="str">
        <f t="shared" si="21"/>
        <v>汽车售后实习生（学历：大专 专业要求：无）</v>
      </c>
      <c r="J207" s="7">
        <f t="shared" si="19"/>
        <v>190</v>
      </c>
      <c r="K207" s="7">
        <f>_xlfn.XLOOKUP(A207,长度要求!A:A,长度要求!E:E)</f>
        <v>500</v>
      </c>
      <c r="L207" s="7" t="str">
        <f t="shared" si="20"/>
        <v>售后业务实习生服务类岗位职责1、客户接待及客户关系维护；2、各项维修活动及现场协调支服务专家、产品交付等持等任职资格1、具备优秀的沟通协调能力2、有较好的服务意识3、专业不限技师类岗位职业1、支持客户完成各类故障诊断、维修等；2、为维修质量负责，提升客户配件、洗美等专业技师满意度任职资格1、相关专业背景机电维修、钣金、喷漆、2、有电工/技师/驾照等证书优先3、钻研技术，吃苦耐劳</v>
      </c>
      <c r="N207" s="7">
        <f t="shared" si="22"/>
        <v>0</v>
      </c>
      <c r="O207" s="7">
        <f t="shared" si="23"/>
        <v>0</v>
      </c>
    </row>
    <row r="208" spans="1:15">
      <c r="A208" s="7">
        <f t="shared" si="18"/>
        <v>6</v>
      </c>
      <c r="B208" s="7" t="s">
        <v>749</v>
      </c>
      <c r="C208" s="8" t="s">
        <v>750</v>
      </c>
      <c r="D208" s="7" t="s">
        <v>755</v>
      </c>
      <c r="E208" s="7">
        <v>50</v>
      </c>
      <c r="F208" s="7" t="s">
        <v>18</v>
      </c>
      <c r="G208" s="8" t="s">
        <v>756</v>
      </c>
      <c r="H208" s="7" t="s">
        <v>551</v>
      </c>
      <c r="I208" s="7" t="str">
        <f t="shared" si="21"/>
        <v>交付实习生（学历：大专 专业要求：无）</v>
      </c>
      <c r="J208" s="7">
        <f t="shared" si="19"/>
        <v>299</v>
      </c>
      <c r="K208" s="7">
        <f>_xlfn.XLOOKUP(A208,长度要求!A:A,长度要求!E:E)</f>
        <v>500</v>
      </c>
      <c r="L208" s="7" t="str">
        <f t="shared" si="20"/>
        <v>岗位职责：协助客户提车用户到店接待、签到、流程引导，解答用户提车疑问，确保客户在提车时能够得到良好的体验和服务；协助用户填写相关交付文件和手续等，并确保所有文件的准确性和完整性；向客户介绍产品的功能、操作方法、用车场景等相关信息，解答客户的疑问；维护交付接待区的整洁和有序，确保环境符合公司形象和标准；岗位要求：大专及以上学历优先，形象气质佳，渴望成功，热爱销售工作。较强的亲和力和服务意识，出色的沟通和客户服务能力。结果导向，较强抗压能力及快速学习能力，能接受排班制工作。拥有良好的团队意识，成为可靠的团队成员。持有驾照且无不良行驶记录。对科技/汽车感兴趣，对小鹏汽车的品牌/产品/文化高度认同。</v>
      </c>
      <c r="N208" s="7">
        <f t="shared" si="22"/>
        <v>0</v>
      </c>
      <c r="O208" s="7">
        <f t="shared" si="23"/>
        <v>0</v>
      </c>
    </row>
    <row r="209" spans="1:15">
      <c r="A209" s="7">
        <f t="shared" si="18"/>
        <v>6</v>
      </c>
      <c r="B209" s="7" t="s">
        <v>749</v>
      </c>
      <c r="C209" s="8" t="s">
        <v>750</v>
      </c>
      <c r="D209" s="7" t="s">
        <v>757</v>
      </c>
      <c r="E209" s="7">
        <v>50</v>
      </c>
      <c r="F209" s="7" t="s">
        <v>18</v>
      </c>
      <c r="G209" s="8" t="s">
        <v>758</v>
      </c>
      <c r="H209" s="7" t="s">
        <v>551</v>
      </c>
      <c r="I209" s="7" t="str">
        <f t="shared" si="21"/>
        <v>新零售实习生（学历：大专 专业要求：无）</v>
      </c>
      <c r="J209" s="7">
        <f t="shared" si="19"/>
        <v>266</v>
      </c>
      <c r="K209" s="7">
        <f>_xlfn.XLOOKUP(A209,长度要求!A:A,长度要求!E:E)</f>
        <v>500</v>
      </c>
      <c r="L209" s="7" t="str">
        <f t="shared" si="20"/>
        <v>岗位职责：为客户提供热情服务，向客户传递品牌价值、展示产品，保证最佳的客户体验。建立良好的客户关系，并通过提供极致的客户体验提高客户对品牌产品认可。引领客户试驾，解答客户疑虑，确保极致的试驾体验。岗位要求：大专及以上学历优先，形象气质佳，渴望成功，热爱销售工作。汽车行业销售或零售行业相关销售经验优先。较强的亲和力和服务意识，出色的沟通和客户服务能力。结果导向，较强抗压能力及快速学习能力，能接受排班制工作。拥有良好的团队意识，成为可靠的团队成员。持有驾照且无不良行驶记录。对科技/汽车感兴趣，对小鹏汽车的品牌/产品/文化高度认同。</v>
      </c>
      <c r="N209" s="7">
        <f t="shared" si="22"/>
        <v>0</v>
      </c>
      <c r="O209" s="7">
        <f t="shared" si="23"/>
        <v>0</v>
      </c>
    </row>
    <row r="210" spans="1:15">
      <c r="A210" s="7">
        <f t="shared" si="18"/>
        <v>8</v>
      </c>
      <c r="B210" s="7" t="s">
        <v>759</v>
      </c>
      <c r="C210" s="8" t="s">
        <v>760</v>
      </c>
      <c r="D210" s="7" t="s">
        <v>761</v>
      </c>
      <c r="E210" s="7">
        <v>50</v>
      </c>
      <c r="F210" s="7" t="s">
        <v>192</v>
      </c>
      <c r="G210" s="8" t="s">
        <v>762</v>
      </c>
      <c r="H210" s="7" t="s">
        <v>92</v>
      </c>
      <c r="I210" s="7" t="str">
        <f t="shared" si="21"/>
        <v>2025校招-工程岗（学历：本科 专业要求：电气工程及其自动化,电气工程与智能控制,电气自动化技术,电气类,电气工程,自动化,电力系统及其自动化,测控技术与仪器）</v>
      </c>
      <c r="J210" s="7">
        <f t="shared" si="19"/>
        <v>92</v>
      </c>
      <c r="K210" s="7">
        <f>_xlfn.XLOOKUP(A210,长度要求!A:A,长度要求!E:E)</f>
        <v>500</v>
      </c>
      <c r="L210" s="7" t="str">
        <f t="shared" si="20"/>
        <v>需求岗位：电气设计工程师、试验工程师，生产计划专员，采购工程师，工艺工程师等；第一年会长期出差要求：1、专业要求：电气类、自动化类、测控类；2、英语过四级3、工作地点：上海，南京，如皋</v>
      </c>
      <c r="M210" s="7" t="s">
        <v>763</v>
      </c>
      <c r="N210" s="7">
        <f t="shared" si="22"/>
        <v>58</v>
      </c>
      <c r="O210" s="7">
        <f t="shared" si="23"/>
        <v>8</v>
      </c>
    </row>
    <row r="211" spans="1:15">
      <c r="A211" s="7">
        <f t="shared" si="18"/>
        <v>8</v>
      </c>
      <c r="B211" s="7" t="s">
        <v>759</v>
      </c>
      <c r="C211" s="8" t="s">
        <v>760</v>
      </c>
      <c r="D211" s="7" t="s">
        <v>764</v>
      </c>
      <c r="E211" s="7">
        <v>20</v>
      </c>
      <c r="F211" s="7" t="s">
        <v>425</v>
      </c>
      <c r="G211" s="8" t="s">
        <v>765</v>
      </c>
      <c r="H211" s="7" t="s">
        <v>766</v>
      </c>
      <c r="I211" s="7" t="str">
        <f t="shared" si="21"/>
        <v>2025届校招研发岗（学历：硕士 专业要求：机械工程,机械设计制造及其自动化,电气工程及其自动化,电气工程与智能控制,自动化）</v>
      </c>
      <c r="J211" s="7">
        <f t="shared" si="19"/>
        <v>90</v>
      </c>
      <c r="K211" s="7">
        <f>_xlfn.XLOOKUP(A211,长度要求!A:A,长度要求!E:E)</f>
        <v>500</v>
      </c>
      <c r="L211" s="7" t="str">
        <f t="shared" si="20"/>
        <v>需求岗位：电气工程师、机械工程师、硬件工程师、软件工程师、热设计工程师、工艺工程师、系统工程师等；要求：1、专业要求：电气、机械、自动化类；2、博士/硕士；3、工作地点：上海，南京</v>
      </c>
      <c r="M211" s="7" t="s">
        <v>767</v>
      </c>
      <c r="N211" s="7">
        <f t="shared" si="22"/>
        <v>40</v>
      </c>
      <c r="O211" s="7">
        <f t="shared" si="23"/>
        <v>5</v>
      </c>
    </row>
    <row r="212" spans="1:15">
      <c r="A212" s="7">
        <f t="shared" si="18"/>
        <v>6</v>
      </c>
      <c r="B212" s="7" t="s">
        <v>78</v>
      </c>
      <c r="C212" s="8" t="s">
        <v>79</v>
      </c>
      <c r="D212" s="7" t="s">
        <v>768</v>
      </c>
      <c r="E212" s="7">
        <v>2</v>
      </c>
      <c r="F212" s="7" t="s">
        <v>192</v>
      </c>
      <c r="G212" s="8" t="s">
        <v>769</v>
      </c>
      <c r="H212" s="7" t="s">
        <v>280</v>
      </c>
      <c r="I212" s="7" t="str">
        <f t="shared" si="21"/>
        <v>PM（学历：本科 专业要求：应用韩语,日语,英语,商务英语）</v>
      </c>
      <c r="J212" s="7">
        <f t="shared" si="19"/>
        <v>264</v>
      </c>
      <c r="K212" s="7">
        <f>_xlfn.XLOOKUP(A212,长度要求!A:A,长度要求!E:E)</f>
        <v>500</v>
      </c>
      <c r="L212" s="7" t="str">
        <f t="shared" si="20"/>
        <v>负责游戏美术项目管理工作，工作内容包括：1、负责与客户沟通与客户关系维护；2、制作资料整理，保障信息准确及时传达；3、及时发现并解决项目问题，有效预防及管理风险；5、制定有关计划，报告，时间表；6、协助领导做好项目统计工作；7、跟踪任务，及时解决问题保证产品顺利完成。任职要求：1、性格开朗，外向2、朝鲜族/日韩欧美留学经历为加分项；3、较强的沟通能力，并能够较好的协调各方面的关系；4、熟练运用办公软件；5、全日制本科及以上学历；6、接受热爱游戏，但没有相关工作经验的同学，会有专人带教的工作时间：9:30-18:00周末双休</v>
      </c>
      <c r="M212" s="7" t="s">
        <v>770</v>
      </c>
      <c r="N212" s="7">
        <f t="shared" si="22"/>
        <v>15</v>
      </c>
      <c r="O212" s="7">
        <f t="shared" si="23"/>
        <v>4</v>
      </c>
    </row>
    <row r="213" spans="1:15">
      <c r="A213" s="7">
        <f t="shared" si="18"/>
        <v>8</v>
      </c>
      <c r="B213" s="7" t="s">
        <v>450</v>
      </c>
      <c r="C213" s="8" t="s">
        <v>451</v>
      </c>
      <c r="D213" s="7" t="s">
        <v>771</v>
      </c>
      <c r="E213" s="7">
        <v>8</v>
      </c>
      <c r="F213" s="7" t="s">
        <v>18</v>
      </c>
      <c r="G213" s="8" t="s">
        <v>772</v>
      </c>
      <c r="H213" s="7" t="s">
        <v>454</v>
      </c>
      <c r="I213" s="7" t="str">
        <f t="shared" si="21"/>
        <v>无线电装调工（学历：大专 专业要求：无）</v>
      </c>
      <c r="J213" s="7">
        <f t="shared" si="19"/>
        <v>81</v>
      </c>
      <c r="K213" s="7">
        <f>_xlfn.XLOOKUP(A213,长度要求!A:A,长度要求!E:E)</f>
        <v>500</v>
      </c>
      <c r="L213" s="7" t="str">
        <f t="shared" si="20"/>
        <v>任职要求：电子、电气类专业，大专及以上学历，高级工等级，具有较好的理论基础和扎实的技能水平，工作仔细，能适应加班、出差，吃苦耐劳，从事航天产品的电子装联调试工作。</v>
      </c>
      <c r="N213" s="7">
        <f t="shared" si="22"/>
        <v>0</v>
      </c>
      <c r="O213" s="7">
        <f t="shared" si="23"/>
        <v>0</v>
      </c>
    </row>
    <row r="214" spans="1:15">
      <c r="A214" s="7">
        <f t="shared" si="18"/>
        <v>2</v>
      </c>
      <c r="B214" s="7" t="s">
        <v>773</v>
      </c>
      <c r="C214" s="8" t="s">
        <v>774</v>
      </c>
      <c r="D214" s="7" t="s">
        <v>775</v>
      </c>
      <c r="E214" s="7">
        <v>1</v>
      </c>
      <c r="F214" s="7" t="s">
        <v>192</v>
      </c>
      <c r="G214" s="8" t="s">
        <v>776</v>
      </c>
      <c r="H214" s="7" t="s">
        <v>205</v>
      </c>
      <c r="I214" s="7" t="str">
        <f t="shared" si="21"/>
        <v>财会方向（25届）（学历：本科 专业要求：无）</v>
      </c>
      <c r="J214" s="7">
        <f t="shared" si="19"/>
        <v>175</v>
      </c>
      <c r="K214" s="7">
        <f>_xlfn.XLOOKUP(A214,长度要求!A:A,长度要求!E:E)</f>
        <v>500</v>
      </c>
      <c r="L214" s="7" t="str">
        <f t="shared" si="20"/>
        <v>岗位职责：1、轮岗财务稽核、应收管理、应付管理、总账模块等财务工作，完成日常结算、财务报表出具；2、协助税务筹划工作；3、支持审计、上市公司信息披露工作；4、推动日常业务流程优化，规范新业务流程，支持业务发展，成为高素质的财务专业人才。招聘要求：25届应届本科及以上学历，财会相关专业，具有较强的责任心、良好的学习能力、良好的沟通能力和团队合作能力。</v>
      </c>
      <c r="N214" s="7">
        <f t="shared" si="22"/>
        <v>0</v>
      </c>
      <c r="O214" s="7">
        <f t="shared" si="23"/>
        <v>0</v>
      </c>
    </row>
    <row r="215" spans="1:15">
      <c r="A215" s="7">
        <f t="shared" si="18"/>
        <v>1</v>
      </c>
      <c r="B215" s="7" t="s">
        <v>777</v>
      </c>
      <c r="C215" s="8" t="s">
        <v>778</v>
      </c>
      <c r="D215" s="7" t="s">
        <v>779</v>
      </c>
      <c r="E215" s="7">
        <v>5</v>
      </c>
      <c r="F215" s="7" t="s">
        <v>18</v>
      </c>
      <c r="G215" s="8" t="s">
        <v>780</v>
      </c>
      <c r="H215" s="7" t="s">
        <v>55</v>
      </c>
      <c r="I215" s="7" t="str">
        <f t="shared" si="21"/>
        <v>市场拓展人员（学历：大专 专业要求：无）</v>
      </c>
      <c r="J215" s="7">
        <f t="shared" si="19"/>
        <v>57</v>
      </c>
      <c r="K215" s="7">
        <f>_xlfn.XLOOKUP(A215,长度要求!A:A,长度要求!E:E)</f>
        <v>500</v>
      </c>
      <c r="L215" s="7" t="str">
        <f t="shared" si="20"/>
        <v>专业不限，有广告行业销售经验者优先；性格开朗，沟通能力强，具有良好的客户服务意识；有责任心，能承受较大的工作压力。</v>
      </c>
      <c r="N215" s="7">
        <f t="shared" si="22"/>
        <v>0</v>
      </c>
      <c r="O215" s="7">
        <f t="shared" si="23"/>
        <v>0</v>
      </c>
    </row>
    <row r="216" spans="1:15">
      <c r="A216" s="7">
        <f t="shared" si="18"/>
        <v>3</v>
      </c>
      <c r="B216" s="7" t="s">
        <v>742</v>
      </c>
      <c r="C216" s="8" t="s">
        <v>743</v>
      </c>
      <c r="D216" s="7" t="s">
        <v>781</v>
      </c>
      <c r="E216" s="7">
        <v>5</v>
      </c>
      <c r="F216" s="7" t="s">
        <v>192</v>
      </c>
      <c r="G216" s="8" t="s">
        <v>782</v>
      </c>
      <c r="H216" s="7" t="s">
        <v>77</v>
      </c>
      <c r="I216" s="7" t="str">
        <f t="shared" si="21"/>
        <v>服装设计助理（学历：本科 专业要求：服装设计与工程,服装与服饰设计）</v>
      </c>
      <c r="J216" s="7">
        <f t="shared" si="19"/>
        <v>237</v>
      </c>
      <c r="K216" s="7">
        <f>_xlfn.XLOOKUP(A216,长度要求!A:A,长度要求!E:E)</f>
        <v>500</v>
      </c>
      <c r="L216" s="7" t="str">
        <f t="shared" si="20"/>
        <v>岗位职责：1、会运用服装设计、软件服装制版及制作；2、有相关绘画基础与造型的能力，掌握服装的款式、色彩和面料的三大基本要素。3、对服装的结构设计、裁剪和缝制的理解；4、善于收集信息，多方向学习，会熟练运用计算机能力；5、有团队合作精神。任职条件：1、本科及以上学历，服装设计相关专业；2、熟练掌握photoshop,AI等软件制作服装图稿；3、有服装设计相关基础，本人喜好服装设计；4、有较好的沟通能力。注：上海总部和外地分公司都会提供免费员工宿舍（仅限非本市户籍的同学）。</v>
      </c>
      <c r="M216" s="7" t="s">
        <v>783</v>
      </c>
      <c r="N216" s="7">
        <f t="shared" si="22"/>
        <v>15</v>
      </c>
      <c r="O216" s="7">
        <f t="shared" si="23"/>
        <v>2</v>
      </c>
    </row>
    <row r="217" spans="1:15">
      <c r="A217" s="7">
        <f t="shared" si="18"/>
        <v>8</v>
      </c>
      <c r="B217" s="7" t="s">
        <v>759</v>
      </c>
      <c r="C217" s="8" t="s">
        <v>760</v>
      </c>
      <c r="D217" s="7" t="s">
        <v>784</v>
      </c>
      <c r="E217" s="7">
        <v>10</v>
      </c>
      <c r="F217" s="7" t="s">
        <v>192</v>
      </c>
      <c r="G217" s="8" t="s">
        <v>785</v>
      </c>
      <c r="H217" s="7" t="s">
        <v>786</v>
      </c>
      <c r="I217" s="7" t="str">
        <f t="shared" si="21"/>
        <v>工程类（学历：本科 专业要求：无）</v>
      </c>
      <c r="J217" s="7">
        <f t="shared" si="19"/>
        <v>166</v>
      </c>
      <c r="K217" s="7">
        <f>_xlfn.XLOOKUP(A217,长度要求!A:A,长度要求!E:E)</f>
        <v>500</v>
      </c>
      <c r="L217" s="7" t="str">
        <f t="shared" si="20"/>
        <v>招聘人数：若干职位描述：从事工程设计工程师、质量工程师、验证工程师等岗位工作。任职要求：1、本科、硕士2024、2025届毕业生；2、专业：电气工程及其自动化、电气工程、机械设计及其自动化、机械工程等专业；3、专业技能：熟悉常用二维及三维制图软件的使用（CAD、Soildworks等）；4、诚实守信，有上进心，较好的表达沟通能力。</v>
      </c>
      <c r="N217" s="7">
        <f t="shared" si="22"/>
        <v>0</v>
      </c>
      <c r="O217" s="7">
        <f t="shared" si="23"/>
        <v>0</v>
      </c>
    </row>
    <row r="218" spans="1:15">
      <c r="A218" s="7">
        <f t="shared" si="18"/>
        <v>8</v>
      </c>
      <c r="B218" s="7" t="s">
        <v>759</v>
      </c>
      <c r="C218" s="8" t="s">
        <v>760</v>
      </c>
      <c r="D218" s="7" t="s">
        <v>787</v>
      </c>
      <c r="E218" s="7">
        <v>5</v>
      </c>
      <c r="F218" s="7" t="s">
        <v>192</v>
      </c>
      <c r="G218" s="8" t="s">
        <v>788</v>
      </c>
      <c r="H218" s="7" t="s">
        <v>786</v>
      </c>
      <c r="I218" s="7" t="str">
        <f t="shared" si="21"/>
        <v>营销类：国内及海外客户经理、客户经理助理（学历：本科 专业要求：无）</v>
      </c>
      <c r="J218" s="7">
        <f t="shared" si="19"/>
        <v>240</v>
      </c>
      <c r="K218" s="7">
        <f>_xlfn.XLOOKUP(A218,长度要求!A:A,长度要求!E:E)</f>
        <v>500</v>
      </c>
      <c r="L218" s="7" t="str">
        <f t="shared" si="20"/>
        <v>职责描述：1、收集目标主运营商的市场规划、投标资质、技术方案决策、项目采购决策等，确定主运营商的客户联系人，并进行决策人分析，负责开发和维护区域内客户关系；2、负责按照公司要求开展产品需求信息的收集或调研活动，收集竞情及其他市场信息并传递；3、负责线索的收集、培育并跟踪；负责项目商务合同谈判与签订，协助技术协议签订，负责线索到合同的项目总结；4、负责交付过程中的客户沟通及问题解决，协助管理项目执行风险，并提出应对措施，负责交付项目的开票并回收货款，协助完成合同到现金项目总结。</v>
      </c>
      <c r="N218" s="7">
        <f t="shared" si="22"/>
        <v>0</v>
      </c>
      <c r="O218" s="7">
        <f t="shared" si="23"/>
        <v>0</v>
      </c>
    </row>
    <row r="219" spans="1:15">
      <c r="A219" s="7">
        <f t="shared" si="18"/>
        <v>2</v>
      </c>
      <c r="B219" s="7" t="s">
        <v>773</v>
      </c>
      <c r="C219" s="8" t="s">
        <v>774</v>
      </c>
      <c r="D219" s="7" t="s">
        <v>789</v>
      </c>
      <c r="E219" s="7">
        <v>8</v>
      </c>
      <c r="F219" s="7" t="s">
        <v>192</v>
      </c>
      <c r="G219" s="8" t="s">
        <v>790</v>
      </c>
      <c r="H219" s="7" t="s">
        <v>205</v>
      </c>
      <c r="I219" s="7" t="str">
        <f t="shared" si="21"/>
        <v>海外业务方向（25届）（学历：本科 专业要求：德语,法语,意大利语,西班牙语,菲律宾语,泰语）</v>
      </c>
      <c r="J219" s="7">
        <f t="shared" si="19"/>
        <v>516</v>
      </c>
      <c r="K219" s="7">
        <f>_xlfn.XLOOKUP(A219,长度要求!A:A,长度要求!E:E)</f>
        <v>500</v>
      </c>
      <c r="L219" s="7" t="str">
        <f t="shared" si="20"/>
        <v>工作职责：1.品牌推广与本地化：负责品牌的海外渠道拓展推广，包括线上和线下渠道的整合营销活动，以及品牌信息的本地化调整，确保品牌在不同文化背景下的有效传播。2.客户关系管理：建立和维护与海外客户的关系，包括客户服务、反馈收集和处理，以及建立长期的客户忠诚度。3.数据分析与报告：定期收集和分析海外市场数据，包括销售报告、市场趋势、客户反馈等，为公司决策提供数据支持。4.团队协作与跨部门沟通：与公司内部的产品设计、生产、物流、市场等部门密切合作，确保海外运营活动的顺利执行。5.危机管理：应对海外市场中可能出现的突发情况，如供应链中断、市场变化、政策调整等，制定应急计划和解决方案。6.预算管理：负责海外运营的预算规划和成本控制，确保营销活动和运营成本在预算范围内。任职资格：1.25届本科及以上学历，专业不限。2.需要具备良好的中英文沟通能力，包括书面和口头表达，对目标市场的本地语言熟悉尤佳。3.对服装行业有兴趣，包括时尚潮流、服装面料、设计趋势等。4.具备与不同文化背景的人有效沟通的能力，特别是目标市场的文化和商业习惯。5.擅长使用数据分析工具。6.需要具备较强的抗压能力和自我驱动力。本岗位……</v>
      </c>
      <c r="M219" s="7" t="s">
        <v>791</v>
      </c>
      <c r="N219" s="7">
        <f t="shared" si="22"/>
        <v>23</v>
      </c>
      <c r="O219" s="7">
        <f t="shared" si="23"/>
        <v>6</v>
      </c>
    </row>
    <row r="220" spans="1:15">
      <c r="A220" s="7">
        <f t="shared" si="18"/>
        <v>3</v>
      </c>
      <c r="B220" s="7" t="s">
        <v>742</v>
      </c>
      <c r="C220" s="8" t="s">
        <v>743</v>
      </c>
      <c r="D220" s="7" t="s">
        <v>792</v>
      </c>
      <c r="E220" s="7">
        <v>5</v>
      </c>
      <c r="F220" s="7" t="s">
        <v>192</v>
      </c>
      <c r="G220" s="8" t="s">
        <v>793</v>
      </c>
      <c r="H220" s="7" t="s">
        <v>77</v>
      </c>
      <c r="I220" s="7" t="str">
        <f t="shared" si="21"/>
        <v>电商运营助理（学历：本科 专业要求：电子商务）</v>
      </c>
      <c r="J220" s="7">
        <f t="shared" si="19"/>
        <v>608</v>
      </c>
      <c r="K220" s="7">
        <f>_xlfn.XLOOKUP(A220,长度要求!A:A,长度要求!E:E)</f>
        <v>500</v>
      </c>
      <c r="L220" s="7" t="str">
        <f t="shared" si="20"/>
        <v>写在岗位职责之前：该岗位为运营助理/专员级的岗位，涉及到多个店铺平台的店铺运营，如天猫、京东、唯品会、猫超、拼多多等平台。如果您之前有一段时间的国内电商店铺运营经历；或者是21-22年应届生，但对店铺运营有一定的了解的认识；属于敢于拓展、外向大方，能够承担挑战和压力的人选，这个岗位会更适合您来应聘。我们的上班时间是9：00-17：00，坐五休二，试用期会有部门负责人制定阶段性成长、工作目标进行带教培养。（非本市户籍的应届大学生成功入职后，可提供员工宿舍）岗位职责：1、协助店长负责铺基础运营工作，提高店铺点击率和浏览量，完成店铺的销售目标；2、负责店铺活动提报、资源位争取及相应的执行跟进工作；3、负责与公司内外部对接沟通，进行相关资料图片整理和审核；4、对店铺销售情况进行评估，对店铺及产品访问量、转化率数据进行分析并做好竞争对手网站的数据的采集、评估与分析；5、对店铺的IP、PV、销量、跳出率、地域分布、转化率等做出专业的数据分析，及时对店铺运营进行改进；6、协助运营负责店铺推广，提高店铺点击率和浏览量，完成店铺销售目标。任职要求：1、本科及以上学历，专业不限，对电子商务有热情，有相关实……</v>
      </c>
      <c r="M220" s="7" t="s">
        <v>794</v>
      </c>
      <c r="N220" s="7">
        <f t="shared" si="22"/>
        <v>4</v>
      </c>
      <c r="O220" s="7">
        <f t="shared" si="23"/>
        <v>1</v>
      </c>
    </row>
    <row r="221" spans="1:15">
      <c r="A221" s="7">
        <f t="shared" si="18"/>
        <v>8</v>
      </c>
      <c r="B221" s="7" t="s">
        <v>795</v>
      </c>
      <c r="C221" s="8" t="s">
        <v>796</v>
      </c>
      <c r="D221" s="7" t="s">
        <v>797</v>
      </c>
      <c r="E221" s="7">
        <v>5</v>
      </c>
      <c r="F221" s="7" t="s">
        <v>192</v>
      </c>
      <c r="G221" s="8" t="s">
        <v>798</v>
      </c>
      <c r="H221" s="7" t="s">
        <v>205</v>
      </c>
      <c r="I221" s="7" t="str">
        <f t="shared" si="21"/>
        <v>质量工程师（学历：本科 专业要求：无）</v>
      </c>
      <c r="J221" s="7">
        <f t="shared" si="19"/>
        <v>571</v>
      </c>
      <c r="K221" s="7">
        <f>_xlfn.XLOOKUP(A221,长度要求!A:A,长度要求!E:E)</f>
        <v>500</v>
      </c>
      <c r="L221" s="7" t="str">
        <f t="shared" si="20"/>
        <v>1、根据产品规范要求,策划实施产品审核2、根据控制计划及交付计划要求，跟踪组织分拣活动。3、根据不合格品处理程序，组织不合格品评审，编制及实施不合格改善计划。4、根据内外部产品表现，识别质量改进机会，策划，实施并跟踪相关改进方案或项目5、负责接收客户质量信息及客户抱怨，完成8D等方式的客户回复，跟踪并验证、关闭所实施的质量改善活动。组织协调质量退货的处理工作。6、根据产品质量动态，进行日常不合格品统计分析，报告，反映质量趋势7、根据过程能力状态，进行过程监控，分析过程变差并提出相应的改进措施8、根据过程作业标准化进程，推进SOP过程操作标准化及管理流程标准化工作9、根据供应商质量要求，协助实施进货质量检验10、根据产品开发进度计划，参与新产品APQP活动，收集和提交PPAP文件，编制控制计划、检验表单等相关质量控制文件，开发过程中与客户对标零件的检测细节、封样件的确认。11、负责策划产品的检验方案，进行量具的MSA分析研究。管理产品的量检具申购、日常使用的维护，跟踪量检具年度外检的实施。12、跟踪原材料棒材的化学成分及机械性能报告，适时组织第三方检测。13、对于产品相关的个别外部协作的……</v>
      </c>
      <c r="N221" s="7">
        <f t="shared" si="22"/>
        <v>0</v>
      </c>
      <c r="O221" s="7">
        <f t="shared" si="23"/>
        <v>0</v>
      </c>
    </row>
    <row r="222" spans="1:15">
      <c r="A222" s="7">
        <f t="shared" si="18"/>
        <v>8</v>
      </c>
      <c r="B222" s="7" t="s">
        <v>717</v>
      </c>
      <c r="C222" s="8" t="s">
        <v>718</v>
      </c>
      <c r="D222" s="7" t="s">
        <v>799</v>
      </c>
      <c r="E222" s="7">
        <v>2</v>
      </c>
      <c r="F222" s="7" t="s">
        <v>27</v>
      </c>
      <c r="G222" s="8" t="s">
        <v>800</v>
      </c>
      <c r="H222" s="7" t="s">
        <v>20</v>
      </c>
      <c r="I222" s="7" t="str">
        <f t="shared" si="21"/>
        <v>餐饮店长助理（学历：初中及以下 专业要求：无）</v>
      </c>
      <c r="J222" s="7">
        <f t="shared" si="19"/>
        <v>203</v>
      </c>
      <c r="K222" s="7">
        <f>_xlfn.XLOOKUP(A222,长度要求!A:A,长度要求!E:E)</f>
        <v>500</v>
      </c>
      <c r="L222" s="7" t="str">
        <f t="shared" si="20"/>
        <v>岗位职责：1.负责公司商务接待、宴请事宜的跟进与服务；2.针对于贵宾级别接待信息后，根据接待负责人指示接待分工；3.宴请依据客人的口味，偏好，忌口等准备餐食、酒水。4.接待现场的服务，谦德小院介绍，接待全流程跟进服务。任职要求：1、形象好、气质佳；2、酒店管理相关专业优先，有相关工作经验者优先；3、良好的沟通能力、服务意识及团队合作精神；4、普通话流利，能配合加班;5、提供工作餐，月休4天，晋升空间大。</v>
      </c>
      <c r="N222" s="7">
        <f t="shared" si="22"/>
        <v>0</v>
      </c>
      <c r="O222" s="7">
        <f t="shared" si="23"/>
        <v>0</v>
      </c>
    </row>
    <row r="223" spans="1:15">
      <c r="A223" s="7">
        <f t="shared" si="18"/>
        <v>6</v>
      </c>
      <c r="B223" s="7" t="s">
        <v>455</v>
      </c>
      <c r="C223" s="8" t="s">
        <v>456</v>
      </c>
      <c r="D223" s="7" t="s">
        <v>801</v>
      </c>
      <c r="E223" s="7">
        <v>3</v>
      </c>
      <c r="F223" s="7" t="s">
        <v>18</v>
      </c>
      <c r="G223" s="8" t="s">
        <v>802</v>
      </c>
      <c r="H223" s="7" t="s">
        <v>97</v>
      </c>
      <c r="I223" s="7" t="str">
        <f t="shared" si="21"/>
        <v>电商类（学历：大专 专业要求：无）</v>
      </c>
      <c r="J223" s="7">
        <f t="shared" si="19"/>
        <v>128</v>
      </c>
      <c r="K223" s="7">
        <f>_xlfn.XLOOKUP(A223,长度要求!A:A,长度要求!E:E)</f>
        <v>500</v>
      </c>
      <c r="L223" s="7" t="str">
        <f t="shared" si="20"/>
        <v>培养方向：运营专员、主播、客服专员、跨境电商专员岗位要求：①2026届毕业生，大专及以上学历；②电子商务、国际贸易、英语等专业优先；③了解电商行业特质，熟悉电商平台的运营状况；④热爱电商工作，对运营、客服、网络直播有浓厚兴趣；⑤有社团、社会实践经验者优先。</v>
      </c>
      <c r="N223" s="7">
        <f t="shared" si="22"/>
        <v>0</v>
      </c>
      <c r="O223" s="7">
        <f t="shared" si="23"/>
        <v>0</v>
      </c>
    </row>
    <row r="224" spans="1:15">
      <c r="A224" s="7">
        <f t="shared" si="18"/>
        <v>1</v>
      </c>
      <c r="B224" s="7" t="s">
        <v>803</v>
      </c>
      <c r="C224" s="8" t="s">
        <v>804</v>
      </c>
      <c r="D224" s="7" t="s">
        <v>805</v>
      </c>
      <c r="E224" s="7">
        <v>10</v>
      </c>
      <c r="F224" s="7" t="s">
        <v>18</v>
      </c>
      <c r="G224" s="8" t="s">
        <v>806</v>
      </c>
      <c r="H224" s="7" t="s">
        <v>458</v>
      </c>
      <c r="I224" s="7" t="str">
        <f t="shared" si="21"/>
        <v>新媒体运营实习生（学历：大专 专业要求：无）</v>
      </c>
      <c r="J224" s="7">
        <f t="shared" si="19"/>
        <v>244</v>
      </c>
      <c r="K224" s="7">
        <f>_xlfn.XLOOKUP(A224,长度要求!A:A,长度要求!E:E)</f>
        <v>500</v>
      </c>
      <c r="L224" s="7" t="str">
        <f t="shared" si="20"/>
        <v>岗位职责1.根据公司要求，完成用于各自媒体内容的创作，包括不仅限于抖音（主要）、小红书、大众点评、微博等2.持续迭代内容，结合自身理解，探索产品定位和用户需求作为切入3.输出高质量的短视频、图文内容并提升品牌与产品的声量岗位要求1.选题有趣富有创意，有短视频、图文笔记创造经验，各大社交平台深度用户尤其是抖音平台优先2.认真负责，积极主动，能够保质保量完成日常工作交付3.兴趣宽泛，熟悉全网热点、爆梗、对美妆、轻医疗有一定认知*温馨提示：此岗位需用于个人账号发布内容（主要以抖音平台为主）</v>
      </c>
      <c r="N224" s="7">
        <f t="shared" si="22"/>
        <v>0</v>
      </c>
      <c r="O224" s="7">
        <f t="shared" si="23"/>
        <v>0</v>
      </c>
    </row>
    <row r="225" spans="1:15">
      <c r="A225" s="7">
        <f t="shared" si="18"/>
        <v>6</v>
      </c>
      <c r="B225" s="7" t="s">
        <v>318</v>
      </c>
      <c r="C225" s="8" t="s">
        <v>319</v>
      </c>
      <c r="D225" s="7" t="s">
        <v>807</v>
      </c>
      <c r="E225" s="7">
        <v>1</v>
      </c>
      <c r="F225" s="7" t="s">
        <v>18</v>
      </c>
      <c r="G225" s="8" t="s">
        <v>808</v>
      </c>
      <c r="H225" s="7" t="s">
        <v>104</v>
      </c>
      <c r="I225" s="7" t="str">
        <f t="shared" si="21"/>
        <v>维保管理内勤（学历：大专 专业要求：无）</v>
      </c>
      <c r="J225" s="7">
        <f t="shared" si="19"/>
        <v>139</v>
      </c>
      <c r="K225" s="7">
        <f>_xlfn.XLOOKUP(A225,长度要求!A:A,长度要求!E:E)</f>
        <v>500</v>
      </c>
      <c r="L225" s="7" t="str">
        <f t="shared" si="20"/>
        <v>职位描述：1、协助销售经理整理客户资料、确认签收等；2、协助销售经理制作标书、合同等；3、合同整理、各类数据统计等；4、相关协议、合同扫描存档工作等。任职资格：1、大专以上学历，能熟练使用办公软件；2、一年以上工作经验，有相关工作经验优先考虑；3、良好的人际交往及团队协作能力；</v>
      </c>
      <c r="N225" s="7">
        <f t="shared" si="22"/>
        <v>0</v>
      </c>
      <c r="O225" s="7">
        <f t="shared" si="23"/>
        <v>0</v>
      </c>
    </row>
    <row r="226" spans="1:15">
      <c r="A226" s="7">
        <f t="shared" si="18"/>
        <v>8</v>
      </c>
      <c r="B226" s="7" t="s">
        <v>759</v>
      </c>
      <c r="C226" s="8" t="s">
        <v>760</v>
      </c>
      <c r="D226" s="7" t="s">
        <v>809</v>
      </c>
      <c r="E226" s="7">
        <v>10</v>
      </c>
      <c r="F226" s="7" t="s">
        <v>18</v>
      </c>
      <c r="G226" s="8" t="s">
        <v>810</v>
      </c>
      <c r="H226" s="7" t="s">
        <v>62</v>
      </c>
      <c r="I226" s="7" t="str">
        <f t="shared" si="21"/>
        <v>调试员/检验员（学历：大专 专业要求：无）</v>
      </c>
      <c r="J226" s="7">
        <f t="shared" si="19"/>
        <v>211</v>
      </c>
      <c r="K226" s="7">
        <f>_xlfn.XLOOKUP(A226,长度要求!A:A,长度要求!E:E)</f>
        <v>500</v>
      </c>
      <c r="L226" s="7" t="str">
        <f t="shared" si="20"/>
        <v>调试员岗位职责：1.负责产品功能调试；根据调试作业指导书要求完成变电/电力产品功能测试工作；2.负责非用户验收项目系统调试工作；根据调试作业指导书完成系统的调试工作，满足交付的需求。3.负责日常的5S工作。检验员岗位职责：1、按照检验指导书、图、工艺文件标准要求完成日常的检验工作；2、能准确的完成出厂试验报告上传工作；3、对过程及原材料发生的异常进行跟踪记录，对不合格品及时进行隔离、标识、登记异常处理数据，确保可追性。</v>
      </c>
      <c r="N226" s="7">
        <f t="shared" si="22"/>
        <v>0</v>
      </c>
      <c r="O226" s="7">
        <f t="shared" si="23"/>
        <v>0</v>
      </c>
    </row>
    <row r="227" spans="1:15">
      <c r="A227" s="7">
        <f t="shared" si="18"/>
        <v>3</v>
      </c>
      <c r="B227" s="7" t="s">
        <v>811</v>
      </c>
      <c r="C227" s="8" t="s">
        <v>812</v>
      </c>
      <c r="D227" s="7" t="s">
        <v>813</v>
      </c>
      <c r="E227" s="7">
        <v>4</v>
      </c>
      <c r="F227" s="7" t="s">
        <v>192</v>
      </c>
      <c r="G227" s="8" t="s">
        <v>814</v>
      </c>
      <c r="H227" s="7" t="s">
        <v>290</v>
      </c>
      <c r="I227" s="7" t="str">
        <f t="shared" si="21"/>
        <v>海运单证员（学历：本科 专业要求：无）</v>
      </c>
      <c r="J227" s="7">
        <f t="shared" si="19"/>
        <v>249</v>
      </c>
      <c r="K227" s="7">
        <f>_xlfn.XLOOKUP(A227,长度要求!A:A,长度要求!E:E)</f>
        <v>500</v>
      </c>
      <c r="L227" s="7" t="str">
        <f t="shared" si="20"/>
        <v>工作职责1.主要负责进出口货物的文件操作，包括委托订舱/拖车/仓储/报关/保险等；2.配合销售与客户保持良好的关系，处理客户交付的一切事宜；3.与供应商维持良好的沟通和联系，及时有效地处理各类问题；4.密切配合公司销售/商务/财务等部门，提升团队服务质量。岗位要求1）物流、外贸、英语、法语等相关专业；2）大专以上学历，英语水平良好，熟练使用办公软件，懂法语的优先考虑；3）工作认真、细致周到、思路清晰；4）必须具有强烈的责任心，遇事不推诿，勇于担当；具备团队价值观念。工作时间9:00~17:30</v>
      </c>
      <c r="N227" s="7">
        <f t="shared" si="22"/>
        <v>0</v>
      </c>
      <c r="O227" s="7">
        <f t="shared" si="23"/>
        <v>0</v>
      </c>
    </row>
    <row r="228" spans="1:15">
      <c r="A228" s="7">
        <f t="shared" si="18"/>
        <v>2</v>
      </c>
      <c r="B228" s="7" t="s">
        <v>656</v>
      </c>
      <c r="C228" s="8" t="s">
        <v>657</v>
      </c>
      <c r="D228" s="7" t="s">
        <v>815</v>
      </c>
      <c r="E228" s="7">
        <v>10</v>
      </c>
      <c r="F228" s="7" t="s">
        <v>549</v>
      </c>
      <c r="G228" s="8" t="s">
        <v>816</v>
      </c>
      <c r="H228" s="7" t="s">
        <v>77</v>
      </c>
      <c r="I228" s="7" t="str">
        <f t="shared" si="21"/>
        <v>设备操作员（学历：高中 专业要求：无）</v>
      </c>
      <c r="J228" s="7">
        <f t="shared" si="19"/>
        <v>481</v>
      </c>
      <c r="K228" s="7">
        <f>_xlfn.XLOOKUP(A228,长度要求!A:A,长度要求!E:E)</f>
        <v>500</v>
      </c>
      <c r="L228" s="7" t="str">
        <f t="shared" si="20"/>
        <v>1、职位概述（JobSummary）按SOP操作，完成每日所属机台的质量、产量任务、并保证安全生产。2、职责（Responsibilities）2.1执行工艺卫生制度，按规定完成负责区域及机台的5S工作。2.2执行工艺操作规范，服从监理安排，完成本岗位操作程序。2.3参加良率提高行动，以杜绝个人操作失误为己任。2.4执行工艺控制要求，及时完成各项QC项目。2.5执行质量控制要求的各项品质检查工作，正确处理设备及硅片异常状况下本岗位职责。2.6遵守公司和净化间的管理规定。3、任职资格（Qualifications）3.1教育背景（Education）中专及以上毕业，半导体、微电子或半导体相关专业；高中、职校毕业，有半导体或电子类企业工作经验者也可应聘。3.2工作经验（Workexperience）应届毕业生，有半导体或电子类企业工作经验者优先。3.3知识和技能（KnowledgeandSkills）需具备基础英语认知能力，会使用MSEXCEL和WORD。3.4其他（Others）身高1.55及以上，双眼矫正视力1.0及以上，无色盲；愿意从事轮班工作。</v>
      </c>
      <c r="N228" s="7">
        <f t="shared" si="22"/>
        <v>0</v>
      </c>
      <c r="O228" s="7">
        <f t="shared" si="23"/>
        <v>0</v>
      </c>
    </row>
    <row r="229" spans="1:15">
      <c r="A229" s="7">
        <f t="shared" si="18"/>
        <v>4</v>
      </c>
      <c r="B229" s="7" t="s">
        <v>720</v>
      </c>
      <c r="C229" s="8" t="s">
        <v>721</v>
      </c>
      <c r="D229" s="7" t="s">
        <v>817</v>
      </c>
      <c r="E229" s="7">
        <v>10</v>
      </c>
      <c r="F229" s="7" t="s">
        <v>18</v>
      </c>
      <c r="G229" s="8" t="s">
        <v>818</v>
      </c>
      <c r="H229" s="7" t="s">
        <v>819</v>
      </c>
      <c r="I229" s="7" t="str">
        <f t="shared" si="21"/>
        <v>蔚来顾问（学历：大专 专业要求：无）</v>
      </c>
      <c r="J229" s="7">
        <f t="shared" si="19"/>
        <v>390</v>
      </c>
      <c r="K229" s="7">
        <f>_xlfn.XLOOKUP(A229,长度要求!A:A,长度要求!E:E)</f>
        <v>500</v>
      </c>
      <c r="L229" s="7" t="str">
        <f t="shared" si="20"/>
        <v>职位描述1、准确地向用户传递并耐心讲解蔚来品牌与产品，并传递蔚来价值观；2、为用户提供全面的试驾服务体验，并不断增强现有用户品牌忠诚度；3、根据销售策略和团队目标，制定团队工作计划和目标分配，完成销售并向客户交付车辆；4、开展营销活动，不断创新、积极主动地吸引潜在用户；5、支持公司新店的开设，确保公司文化和价值观在新团队传承；6、承担内部培训师的角色，并根据业务发展需要，完成团队指定的其他工作。职位要求1、大专及以上学历；2、对销售数据敏感，优秀的数据分析能力和逻辑分析能力;3、优秀的沟通能力和谈判能力，良好的自我管理能力及自我学习能力；4、抗压能力强，能够应在高速发展的环境中开展销售管理工作，达到公司业结指标要求；5、认可蔚来汽车的创业公司文化，具备创业公司必要的心理素质；6、C1及以上驾照，驾驶技术熟练；7、本岗位将邀请您提前参与带薪实习体验，快人一步，融入NIO！</v>
      </c>
      <c r="N229" s="7">
        <f t="shared" si="22"/>
        <v>0</v>
      </c>
      <c r="O229" s="7">
        <f t="shared" si="23"/>
        <v>0</v>
      </c>
    </row>
    <row r="230" spans="1:15">
      <c r="A230" s="7">
        <f t="shared" si="18"/>
        <v>5</v>
      </c>
      <c r="B230" s="7" t="s">
        <v>63</v>
      </c>
      <c r="C230" s="8" t="s">
        <v>64</v>
      </c>
      <c r="D230" s="7" t="s">
        <v>820</v>
      </c>
      <c r="E230" s="7">
        <v>2</v>
      </c>
      <c r="F230" s="7" t="s">
        <v>18</v>
      </c>
      <c r="G230" s="8" t="s">
        <v>821</v>
      </c>
      <c r="H230" s="7" t="s">
        <v>741</v>
      </c>
      <c r="I230" s="7" t="str">
        <f t="shared" si="21"/>
        <v>海外客服助理（学历：大专 专业要求：无）</v>
      </c>
      <c r="J230" s="7">
        <f t="shared" si="19"/>
        <v>177</v>
      </c>
      <c r="K230" s="7">
        <f>_xlfn.XLOOKUP(A230,长度要求!A:A,长度要求!E:E)</f>
        <v>500</v>
      </c>
      <c r="L230" s="7" t="str">
        <f t="shared" si="20"/>
        <v>岗位职责:维护现有海外代理业务及合作关系，海外业务的报价以及客户维护工作；负责FOB国内客户联系以及后续事宜协调与操作，市场和财务的日常工作和沟通所辖业务应收账款的管理，严格控制应收款，及时回款岗位要求:有1年货代经验须具备熟练的英文阅读书写能力,能够使用英语与海外代理沟通责任心强，诚信、处理任何事务时认真细心有良好的服务意识，语言表达能力强，擅于沟通</v>
      </c>
      <c r="N230" s="7">
        <f t="shared" si="22"/>
        <v>0</v>
      </c>
      <c r="O230" s="7">
        <f t="shared" si="23"/>
        <v>0</v>
      </c>
    </row>
    <row r="231" spans="1:15">
      <c r="A231" s="7">
        <f t="shared" si="18"/>
        <v>1</v>
      </c>
      <c r="B231" s="7" t="s">
        <v>822</v>
      </c>
      <c r="C231" s="8" t="s">
        <v>823</v>
      </c>
      <c r="D231" s="7" t="s">
        <v>824</v>
      </c>
      <c r="E231" s="7">
        <v>10</v>
      </c>
      <c r="F231" s="7" t="s">
        <v>18</v>
      </c>
      <c r="G231" s="8" t="s">
        <v>825</v>
      </c>
      <c r="H231" s="7" t="s">
        <v>826</v>
      </c>
      <c r="I231" s="7" t="str">
        <f t="shared" si="21"/>
        <v>汽车生产装配管培生（学历：大专 专业要求：无）</v>
      </c>
      <c r="J231" s="7">
        <f t="shared" si="19"/>
        <v>555</v>
      </c>
      <c r="K231" s="7">
        <f>_xlfn.XLOOKUP(A231,长度要求!A:A,长度要求!E:E)</f>
        <v>500</v>
      </c>
      <c r="L231" s="7" t="str">
        <f t="shared" si="20"/>
        <v>一、岗位情况1、岗位名称：冲压工、点焊工、喷漆工、装配工、检验员。2、岗位的性质：了解和熟悉汽车线束电路组成和构建，汽车各零件的装配及调试。3、工作的内容A、(操作员岗位职责）:-（1）熟悉车辆线束的种类、布局；（2）负责汽车零部件的组装和调试；（3）白车身白车身的焊接加工以及测试、保养、维护（4）负责协助上级完成工作计划；四、薪资体系二、薪资体系1、上班时间：上六休一，每天工作8-9小时（不定期加班1-2小时），中午约一个小时左右吃饭时间。2、薪资结构：基本工资+加班工资+吃住补贴。3、免费提供住宿、工作餐、免费提供床上用品生活用品（满三个月报销车费），有空调洗衣机热水网络。4、薪资：实习生工资按实际出勤时长发放工资，综合薪资3500-5500左右，加班越多工资越高，交商业保险。三、福利待遇1、福利：实习结束后，公司安排统一转正，并购买六险一金。2、住宿：提供6-8人/间标准宿舍，宿舍配备有空调、热水器、WiFi、独立卫生间等。3、过年过节会发放礼品、定期组建团建户外活动！4、转正后内部员工享受大众旗下品牌汽车购车优惠！5、有年终奖、生日费、过节费、季度福利、定期培训等。6、业余活动……</v>
      </c>
      <c r="N231" s="7">
        <f t="shared" si="22"/>
        <v>0</v>
      </c>
      <c r="O231" s="7">
        <f t="shared" si="23"/>
        <v>0</v>
      </c>
    </row>
    <row r="232" spans="1:15">
      <c r="A232" s="7">
        <f t="shared" si="18"/>
        <v>8</v>
      </c>
      <c r="B232" s="7" t="s">
        <v>759</v>
      </c>
      <c r="C232" s="8" t="s">
        <v>760</v>
      </c>
      <c r="D232" s="7" t="s">
        <v>827</v>
      </c>
      <c r="E232" s="7">
        <v>3</v>
      </c>
      <c r="F232" s="7" t="s">
        <v>192</v>
      </c>
      <c r="G232" s="8" t="s">
        <v>828</v>
      </c>
      <c r="H232" s="7" t="s">
        <v>786</v>
      </c>
      <c r="I232" s="7" t="str">
        <f t="shared" si="21"/>
        <v>人事（学历：本科 专业要求：无）</v>
      </c>
      <c r="J232" s="7">
        <f t="shared" si="19"/>
        <v>74</v>
      </c>
      <c r="K232" s="7">
        <f>_xlfn.XLOOKUP(A232,长度要求!A:A,长度要求!E:E)</f>
        <v>500</v>
      </c>
      <c r="L232" s="7" t="str">
        <f t="shared" si="20"/>
        <v>人事相关工作：1、2025届毕业生；2、人力资源、心理学、工商管理劳动保障等相关专业；3、专业成绩优异；4、诚实守信，有上进心，较好的表达沟通能力。</v>
      </c>
      <c r="N232" s="7">
        <f t="shared" si="22"/>
        <v>0</v>
      </c>
      <c r="O232" s="7">
        <f t="shared" si="23"/>
        <v>0</v>
      </c>
    </row>
    <row r="233" spans="1:15">
      <c r="A233" s="7">
        <f t="shared" si="18"/>
        <v>8</v>
      </c>
      <c r="B233" s="7" t="s">
        <v>759</v>
      </c>
      <c r="C233" s="8" t="s">
        <v>760</v>
      </c>
      <c r="D233" s="7" t="s">
        <v>829</v>
      </c>
      <c r="E233" s="7">
        <v>3</v>
      </c>
      <c r="F233" s="7" t="s">
        <v>192</v>
      </c>
      <c r="G233" s="8" t="s">
        <v>830</v>
      </c>
      <c r="H233" s="7" t="s">
        <v>786</v>
      </c>
      <c r="I233" s="7" t="str">
        <f t="shared" si="21"/>
        <v>财务（学历：本科 专业要求：无）</v>
      </c>
      <c r="J233" s="7">
        <f t="shared" si="19"/>
        <v>312</v>
      </c>
      <c r="K233" s="7">
        <f>_xlfn.XLOOKUP(A233,长度要求!A:A,长度要求!E:E)</f>
        <v>500</v>
      </c>
      <c r="L233" s="7" t="str">
        <f t="shared" si="20"/>
        <v>职位描述：1、财务核算工作，根据公司各项财务规章制度进行财务核算工作，确保财务数据的及时性、合规性、真实性、准确性；2、在财务骨干的带教下在财务各岗位间进行轮岗，系统学习专业知识并培养多种能力，积累实战经验；3、财务资料管理，协助公司对财务文件及资料进行保存和管理；4、公司财务任务及活动的配合执行与实施，高效的完成领导交办的工作任务。任职条件：1、学历要求：24届、25届应届毕业生大学本科及以上学历，会计、经济、金融等相关专业；2、专业知识技能：具备财务会计知识，熟练掌握office办公软件使用，了解基本的国家财税法律法规、企业财务制度及流程；3、能力素质：较强的沟通能力、协调能力和学习能力，能够承受一定的工作压力。</v>
      </c>
      <c r="N233" s="7">
        <f t="shared" si="22"/>
        <v>0</v>
      </c>
      <c r="O233" s="7">
        <f t="shared" si="23"/>
        <v>0</v>
      </c>
    </row>
    <row r="234" spans="1:15">
      <c r="A234" s="7">
        <f t="shared" si="18"/>
        <v>8</v>
      </c>
      <c r="B234" s="7" t="s">
        <v>759</v>
      </c>
      <c r="C234" s="8" t="s">
        <v>760</v>
      </c>
      <c r="D234" s="7" t="s">
        <v>831</v>
      </c>
      <c r="E234" s="7">
        <v>10</v>
      </c>
      <c r="F234" s="7" t="s">
        <v>192</v>
      </c>
      <c r="G234" s="8" t="s">
        <v>832</v>
      </c>
      <c r="H234" s="7" t="s">
        <v>786</v>
      </c>
      <c r="I234" s="7" t="str">
        <f t="shared" si="21"/>
        <v>研发类：电气、软件、算法、硬件、机械（学历：本科 专业要求：无）</v>
      </c>
      <c r="J234" s="7">
        <f t="shared" si="19"/>
        <v>171</v>
      </c>
      <c r="K234" s="7">
        <f>_xlfn.XLOOKUP(A234,长度要求!A:A,长度要求!E:E)</f>
        <v>500</v>
      </c>
      <c r="L234" s="7" t="str">
        <f t="shared" si="20"/>
        <v>招聘人数：若干职位描述：从事电气工程师、机械工程师、测试工程师、工艺工程师等岗位工作。任职要求：1、2024届、2025届本科、硕士毕业生；2、专业：电气工程及其自动化、电气工程、机械设计及其自动化、机械工程等专业；3、专业技能：熟悉常用二维及三维制图软件的使用（CAD、Soildworks等）；4、诚实守信，有上进心，较好的表达沟通能力。</v>
      </c>
      <c r="N234" s="7">
        <f t="shared" si="22"/>
        <v>0</v>
      </c>
      <c r="O234" s="7">
        <f t="shared" si="23"/>
        <v>0</v>
      </c>
    </row>
    <row r="235" spans="1:15">
      <c r="A235" s="7">
        <f t="shared" si="18"/>
        <v>30</v>
      </c>
      <c r="B235" s="7" t="s">
        <v>833</v>
      </c>
      <c r="C235" s="8" t="s">
        <v>834</v>
      </c>
      <c r="D235" s="7" t="s">
        <v>835</v>
      </c>
      <c r="E235" s="7">
        <v>1</v>
      </c>
      <c r="F235" s="7" t="s">
        <v>641</v>
      </c>
      <c r="G235" s="8" t="s">
        <v>836</v>
      </c>
      <c r="H235" s="7" t="s">
        <v>786</v>
      </c>
      <c r="I235" s="7" t="str">
        <f t="shared" si="21"/>
        <v>校招-工程师，电子硬件开发（硬件集成开发）（学历：博士 专业要求：无）</v>
      </c>
      <c r="J235" s="7">
        <f t="shared" si="19"/>
        <v>260</v>
      </c>
      <c r="K235" s="7">
        <f>_xlfn.XLOOKUP(A235,长度要求!A:A,长度要求!E:E)</f>
        <v>500</v>
      </c>
      <c r="L235" s="7" t="str">
        <f t="shared" si="20"/>
        <v>工作内容1参与车载大功率电机控制器的硬件设计；2.参与各种功率等级电源的硬件调试；3.参与电子器件评估、功能电路设计调试、磁性器件的设计与仿真；4负责功率电子产品的测试与调试；5.负责技术文件归档、BOM制作、技术问题的调查与解决；任职要求1.研究生以上学历，电子类、电力电子、自动控制、电气自动化专业；2.有扎实的电力电子基础，熟悉常用电源拓扑电路和电驱动逆变器拓扑；3.动手能力强，熟悉电子测试仪器.示波器、信号发生器、万用表、电子负载等；4.积极主动，乐于团队合作，善于分析解决问题；5敢于承担任务，具有奋斗精神。</v>
      </c>
      <c r="N235" s="7">
        <f t="shared" si="22"/>
        <v>0</v>
      </c>
      <c r="O235" s="7">
        <f t="shared" si="23"/>
        <v>0</v>
      </c>
    </row>
    <row r="236" spans="1:15">
      <c r="A236" s="7">
        <f t="shared" si="18"/>
        <v>30</v>
      </c>
      <c r="B236" s="7" t="s">
        <v>833</v>
      </c>
      <c r="C236" s="8" t="s">
        <v>834</v>
      </c>
      <c r="D236" s="7" t="s">
        <v>837</v>
      </c>
      <c r="E236" s="7">
        <v>1</v>
      </c>
      <c r="F236" s="7" t="s">
        <v>425</v>
      </c>
      <c r="G236" s="8" t="s">
        <v>838</v>
      </c>
      <c r="H236" s="7" t="s">
        <v>786</v>
      </c>
      <c r="I236" s="7" t="str">
        <f t="shared" si="21"/>
        <v>校招-工程师，电子硬件开发（电源开发）（学历：硕士 专业要求：无）</v>
      </c>
      <c r="J236" s="7">
        <f t="shared" si="19"/>
        <v>366</v>
      </c>
      <c r="K236" s="7">
        <f>_xlfn.XLOOKUP(A236,长度要求!A:A,长度要求!E:E)</f>
        <v>500</v>
      </c>
      <c r="L236" s="7" t="str">
        <f t="shared" si="20"/>
        <v>工作内容1.负责车载电力电子功率变换产品的硬件开发设计工作，例如OBC,800/12，400/12，800/48，48/12，EFUSE等各种电压平台的功率变换和保护产品2.在项目中完成硬件相关交付物，同时保证开发节点匹配项目计划，例如硬件架构，各电路功能模块的详细设计，WCA分析，寿命可靠性分析，硬件相关功能安全目标的落地，电路调试，debug等测试验证工作3.与相关部门（机械设计，软件，测试，CE，质量与工厂）以及供应商紧密协作，以满足项目要求任职要求1.硕士及以上学历，电子技术/电气工程/电力电子与电力传动等相关方向2.熟悉常用的电路仿真软件，比如LTSPICE等3.熟悉常用的开发调试工具设备，比如示波器，电子源载等3.团队协调沟通能力强，乐于钻研技术，能适应快节奏开发环境，乐于接受学习新技术，乐于接受有挑战性的任务</v>
      </c>
      <c r="N236" s="7">
        <f t="shared" si="22"/>
        <v>0</v>
      </c>
      <c r="O236" s="7">
        <f t="shared" si="23"/>
        <v>0</v>
      </c>
    </row>
    <row r="237" spans="1:15">
      <c r="A237" s="7">
        <f t="shared" si="18"/>
        <v>30</v>
      </c>
      <c r="B237" s="7" t="s">
        <v>833</v>
      </c>
      <c r="C237" s="8" t="s">
        <v>834</v>
      </c>
      <c r="D237" s="7" t="s">
        <v>839</v>
      </c>
      <c r="E237" s="7">
        <v>1</v>
      </c>
      <c r="F237" s="7" t="s">
        <v>425</v>
      </c>
      <c r="G237" s="8" t="s">
        <v>840</v>
      </c>
      <c r="H237" s="7" t="s">
        <v>786</v>
      </c>
      <c r="I237" s="7" t="str">
        <f t="shared" si="21"/>
        <v>校招-工程师，电子硬件开发（硬件平台开发）（学历：硕士 专业要求：无）</v>
      </c>
      <c r="J237" s="7">
        <f t="shared" si="19"/>
        <v>572</v>
      </c>
      <c r="K237" s="7">
        <f>_xlfn.XLOOKUP(A237,长度要求!A:A,长度要求!E:E)</f>
        <v>500</v>
      </c>
      <c r="L237" s="7" t="str">
        <f t="shared" si="20"/>
        <v>工作内容1.负责电力电子变换器/电机控制器的硬件开发工作；2.负责硬件电路模块的设计，包括功率模块(IGBT/SiC)驱动电路详细设计，驱动电源（flyback/LLC等）的详细设计，以及其他硬件电路模块的详细设计等；3.负责功率模块（IGBT/SiC)的选型评估，结合仿真及测试结果给出功率模块的能力边界；4.负责硬件电路模块的最坏情况分析（WCCA)，基于分析结果给出结论性判断，如不满足要求，需提出改善方案或给出风险评估；5.负责组织与供应商的技术交流，如芯片问题调查的讨论，前瞻技术的讨论等；6.负责硬件电路模块的问题调查，或支持项目完成相关硬件问题调查，对于重大问题需提供8D分析报告；7.项目中对硬件详细设计方案负责，以满足成本，性能以及可靠性等指标任职要求1.研究生学历，电子技术/电气工程/电力电子与电力传动/电机与电器等相关方向；2.熟悉电力电子相关设计开发工作，如功率模块（IGBT/SiC)的选型评估，驱动电路的选型设计,驱动电源的设计等；3.具有电力电子的仿真分析能力，熟悉Mathcad、LTspice、Pspice的分析工具，有Worsecasecircuitanalys……</v>
      </c>
      <c r="N237" s="7">
        <f t="shared" si="22"/>
        <v>0</v>
      </c>
      <c r="O237" s="7">
        <f t="shared" si="23"/>
        <v>0</v>
      </c>
    </row>
    <row r="238" spans="1:15">
      <c r="A238" s="7">
        <f t="shared" si="18"/>
        <v>30</v>
      </c>
      <c r="B238" s="7" t="s">
        <v>833</v>
      </c>
      <c r="C238" s="8" t="s">
        <v>834</v>
      </c>
      <c r="D238" s="7" t="s">
        <v>841</v>
      </c>
      <c r="E238" s="7">
        <v>1</v>
      </c>
      <c r="F238" s="7" t="s">
        <v>425</v>
      </c>
      <c r="G238" s="8" t="s">
        <v>842</v>
      </c>
      <c r="H238" s="7" t="s">
        <v>786</v>
      </c>
      <c r="I238" s="7" t="str">
        <f t="shared" si="21"/>
        <v>校招-工程师，机械工程（高压线束连接器开发）（学历：硕士 专业要求：无）</v>
      </c>
      <c r="J238" s="7">
        <f t="shared" si="19"/>
        <v>277</v>
      </c>
      <c r="K238" s="7">
        <f>_xlfn.XLOOKUP(A238,长度要求!A:A,长度要求!E:E)</f>
        <v>500</v>
      </c>
      <c r="L238" s="7" t="str">
        <f t="shared" si="20"/>
        <v>工作内容1.负责高压线束接插件的设计开发和验证工作2.负责高压接插件方案设计和仿真分析，包括公差分析3.负责高压线束接插件图纸和相关开发标准的编制工作4.负责高压线束的装车支持及其相关工程问题的解决工作5.负责高压线束接插件项目阀点文件的交付，配合项目完成其他相关项目工程需求任职要求1.研究生学历，机械工程&amp;机械电子&amp;车辆工程&amp;自动化相关专业2.熟悉汽车连接器国内外标准/掌握CATIA/UG相关软件3.各类材料的加工方法/工艺.材料性能.连接器设计和制造技术.塑件的结构设计4.具备良好的沟通和协调能力5.富有团队合作精神6.良好的英文听说和读写能力</v>
      </c>
      <c r="N238" s="7">
        <f t="shared" si="22"/>
        <v>0</v>
      </c>
      <c r="O238" s="7">
        <f t="shared" si="23"/>
        <v>0</v>
      </c>
    </row>
    <row r="239" spans="1:15">
      <c r="A239" s="7">
        <f t="shared" si="18"/>
        <v>30</v>
      </c>
      <c r="B239" s="7" t="s">
        <v>833</v>
      </c>
      <c r="C239" s="8" t="s">
        <v>834</v>
      </c>
      <c r="D239" s="7" t="s">
        <v>843</v>
      </c>
      <c r="E239" s="7">
        <v>1</v>
      </c>
      <c r="F239" s="7" t="s">
        <v>425</v>
      </c>
      <c r="G239" s="8" t="s">
        <v>844</v>
      </c>
      <c r="H239" s="7" t="s">
        <v>786</v>
      </c>
      <c r="I239" s="7" t="str">
        <f t="shared" si="21"/>
        <v>校招-工程师，功率模块智能仿真（学历：硕士 专业要求：无）</v>
      </c>
      <c r="J239" s="7">
        <f t="shared" si="19"/>
        <v>493</v>
      </c>
      <c r="K239" s="7">
        <f>_xlfn.XLOOKUP(A239,长度要求!A:A,长度要求!E:E)</f>
        <v>500</v>
      </c>
      <c r="L239" s="7" t="str">
        <f t="shared" si="20"/>
        <v>工作内容1、负责SiC功率模块的热仿真（温度场、流阻）、busbar的温度仿真等；2、负责与电路仿真工程师协同优化layout，与结构工程师联合进行材料选型、散热器设计和优化；3、负责SiC功率模块工艺过程、可靠性测试以及模块安装过程中的应力仿真，包括翘曲、热应力、疲劳等，优化材料选型、结构设计和工艺开发等；4、负责研究AI在功率模块仿真中的应用，包括建立芯片模型、快速可靠性评估等；5、负责研究运用AI的方式加速热仿真和应力仿真，基于实际的Missionprofile评估模块寿命；6、建立材料数据库，定义规范的仿真流程。任职要求1、硕士及以上学历，电子封装、微电子、机械工程、力学、工程热物理等相关专业；2、熟悉传热学、流体力学、材料力学理论力学等经典力学和热学理论；3、了解功率模块封装结构、材料和工艺；4、了解功率模块热测试和可靠性测试的相关标准和方法，熟悉mentor功率循环测试设备有线；5、了解机器学习、深度学习和相应的算法知识；6、精通热仿真软件和力学仿真软件，如AnsysIcepak，Ansysmechanical,fluent，Flotherm，ABAQUS等。</v>
      </c>
      <c r="N239" s="7">
        <f t="shared" si="22"/>
        <v>0</v>
      </c>
      <c r="O239" s="7">
        <f t="shared" si="23"/>
        <v>0</v>
      </c>
    </row>
    <row r="240" spans="1:15">
      <c r="A240" s="7">
        <f t="shared" si="18"/>
        <v>30</v>
      </c>
      <c r="B240" s="7" t="s">
        <v>833</v>
      </c>
      <c r="C240" s="8" t="s">
        <v>834</v>
      </c>
      <c r="D240" s="7" t="s">
        <v>845</v>
      </c>
      <c r="E240" s="7">
        <v>1</v>
      </c>
      <c r="F240" s="7" t="s">
        <v>425</v>
      </c>
      <c r="G240" s="8" t="s">
        <v>846</v>
      </c>
      <c r="H240" s="7" t="s">
        <v>786</v>
      </c>
      <c r="I240" s="7" t="str">
        <f t="shared" si="21"/>
        <v>校招-工程师，性能开发（电机结构开发）（学历：硕士 专业要求：无）</v>
      </c>
      <c r="J240" s="7">
        <f t="shared" si="19"/>
        <v>326</v>
      </c>
      <c r="K240" s="7">
        <f>_xlfn.XLOOKUP(A240,长度要求!A:A,长度要求!E:E)</f>
        <v>500</v>
      </c>
      <c r="L240" s="7" t="str">
        <f t="shared" si="20"/>
        <v>工作内容•熟悉电机原理和结构，了解电机制造装配工艺。•掌握结构强度力学和疲劳分析和FEA仿真用于电机及零部件结构设计和分析•负责产品的零件设计，零部件的详细设计(2D/3D)、公差分析、DFMEA、材料选型，结构校核、样件控制计划，新产品的组装测试和验证；负责产品的BOM、相关图纸、产品技术标准、等技术文件的编制和输出；•负责产品生命周期内的电机结构、工艺设计及问题改善；•负责电机结构方向的技术预研，技术专题研究，技术难题攻关。任职要求•电机、机电一体化等相关专业硕士以上学历。•熟悉电机工作原理和结构。•熟练运用AutoCAD、Cardia，Ansys软件及Office办公软件。•英文6级，•积极乐观，学习及动手能力强。有成功机电项目经验优先。</v>
      </c>
      <c r="N240" s="7">
        <f t="shared" si="22"/>
        <v>0</v>
      </c>
      <c r="O240" s="7">
        <f t="shared" si="23"/>
        <v>0</v>
      </c>
    </row>
    <row r="241" spans="1:15">
      <c r="A241" s="7">
        <f t="shared" si="18"/>
        <v>30</v>
      </c>
      <c r="B241" s="7" t="s">
        <v>833</v>
      </c>
      <c r="C241" s="8" t="s">
        <v>834</v>
      </c>
      <c r="D241" s="7" t="s">
        <v>847</v>
      </c>
      <c r="E241" s="7">
        <v>1</v>
      </c>
      <c r="F241" s="7" t="s">
        <v>425</v>
      </c>
      <c r="G241" s="8" t="s">
        <v>848</v>
      </c>
      <c r="H241" s="7" t="s">
        <v>786</v>
      </c>
      <c r="I241" s="7" t="str">
        <f t="shared" si="21"/>
        <v>校招-工程师，性能开发（电磁开发）（学历：硕士 专业要求：无）</v>
      </c>
      <c r="J241" s="7">
        <f t="shared" si="19"/>
        <v>449</v>
      </c>
      <c r="K241" s="7">
        <f>_xlfn.XLOOKUP(A241,长度要求!A:A,长度要求!E:E)</f>
        <v>500</v>
      </c>
      <c r="L241" s="7" t="str">
        <f t="shared" si="20"/>
        <v>工作内容1.负责驱动电机(永磁同步电机、感应电机)电磁方案仿真工作；2.负责制定电机性能测试规范，并参与性能测试工作中，分析设计与实测数据，并优化设计方案和释放性能数据；3.负责完成所负责项目开发过程中的设计文件、测试报告和设计规范等；4.负责电机多目标设计优化程序开发，对电机方案设计输入、设计与仿真建模、数据处理等工作进行工具链化及标准化；5.支持电机开发过程中NVH、结构、热相关对电磁仿真数据的需求；任职要求1.电气工程、电机与电器、自动化、机械专业毕业，硕士毕业；2.熟练使用Jmag,AnsysMaxwell或Magnet等至少一种有限元软件；熟悉MotorCAD仿真软件的使用；3.熟悉Matlab软件编程或Python编程，具有一定的仿真软件工具链二次开发能力；4.电机电磁设计及驱动设计背景，充分了解电机中的稳态和瞬态电磁场；熟悉电机的dq0变换，电力电子逆变器，变送器和三相可控整流器；5.具备扎实的电机电磁场理论、电机控制、电力电子基础，熟悉常用的电机设计，有较强的分析能力。</v>
      </c>
      <c r="N241" s="7">
        <f t="shared" si="22"/>
        <v>0</v>
      </c>
      <c r="O241" s="7">
        <f t="shared" si="23"/>
        <v>0</v>
      </c>
    </row>
    <row r="242" spans="1:15">
      <c r="A242" s="7">
        <f t="shared" si="18"/>
        <v>30</v>
      </c>
      <c r="B242" s="7" t="s">
        <v>833</v>
      </c>
      <c r="C242" s="8" t="s">
        <v>834</v>
      </c>
      <c r="D242" s="7" t="s">
        <v>849</v>
      </c>
      <c r="E242" s="7">
        <v>1</v>
      </c>
      <c r="F242" s="7" t="s">
        <v>192</v>
      </c>
      <c r="G242" s="8" t="s">
        <v>850</v>
      </c>
      <c r="H242" s="7" t="s">
        <v>786</v>
      </c>
      <c r="I242" s="7" t="str">
        <f t="shared" si="21"/>
        <v>校招-工程师，数字化产品运营（学历：本科 专业要求：无）</v>
      </c>
      <c r="J242" s="7">
        <f t="shared" si="19"/>
        <v>327</v>
      </c>
      <c r="K242" s="7">
        <f>_xlfn.XLOOKUP(A242,长度要求!A:A,长度要求!E:E)</f>
        <v>500</v>
      </c>
      <c r="L242" s="7" t="str">
        <f t="shared" si="20"/>
        <v>工作内容1.负责数字化业务流程的运营，包括业务状态统计，问题跟进，数据分析，形成状态信息并向组织内相关方进行通报2.根据运营状态分析，结合用户及业务发展需求，提出相关业务流程及系统优化点，撰写需求方案书，并组织相关方进行实施落地3.支持数字化工具迭代后的测试和应用推广工作，利用数字化工具助力工程师将日常低效业务提效4.组织并复盘运营问题，交付基于用户场景的Process、Storyboard、Method、Tips等文档任职要求1.本科及以上学历，熟悉数字化产品开发过程、IT技术者优先考虑2.有自媒体等其他平台运营经验者优先3.认真负责，细心谨慎，具有团队协作精神及较强的自驱力，有一定的抗压能力4.拥有较好的沟通技巧和协调能力,业务理解及转换能力</v>
      </c>
      <c r="N242" s="7">
        <f t="shared" si="22"/>
        <v>0</v>
      </c>
      <c r="O242" s="7">
        <f t="shared" si="23"/>
        <v>0</v>
      </c>
    </row>
    <row r="243" spans="1:15">
      <c r="A243" s="7">
        <f t="shared" si="18"/>
        <v>30</v>
      </c>
      <c r="B243" s="7" t="s">
        <v>833</v>
      </c>
      <c r="C243" s="8" t="s">
        <v>834</v>
      </c>
      <c r="D243" s="7" t="s">
        <v>851</v>
      </c>
      <c r="E243" s="7">
        <v>1</v>
      </c>
      <c r="F243" s="7" t="s">
        <v>425</v>
      </c>
      <c r="G243" s="8" t="s">
        <v>852</v>
      </c>
      <c r="H243" s="7" t="s">
        <v>786</v>
      </c>
      <c r="I243" s="7" t="str">
        <f t="shared" si="21"/>
        <v>校招-电芯仿真工程师（学历：硕士 专业要求：无）</v>
      </c>
      <c r="J243" s="7">
        <f t="shared" si="19"/>
        <v>626</v>
      </c>
      <c r="K243" s="7">
        <f>_xlfn.XLOOKUP(A243,长度要求!A:A,长度要求!E:E)</f>
        <v>500</v>
      </c>
      <c r="L243" s="7" t="str">
        <f t="shared" si="20"/>
        <v>工作内容职责描述：1.负责电芯电化学建模仿真，并通过仿真分析电池电化学性能、热力学性能、动力学性能、安全性能及寿命可靠性等，优化电池设计策略及应用策略。2.根据项目节点，配合电芯开发团队和材料开发团队（负极，正极，电解液，高分子）进行电芯设计优化、配方改善、材料甄别等。3.负责校企合作，与国际，国内高校，科研所，进行深度科研合作，产学研合作。4.负责与仿真工具供应商对接，收集需求，按项目节点收发交付物。5.负责前沿仿真技术跟踪等。6.负责日常技术工作，包括文献资料查阅，会议资料，技术资料的整理归档。任职要求职位要求1.了解电化学建模仿真技术，了解电芯结构与电池反应机理（包括但不限于：电池结构、电极反应过程、插层反应、电极-液相电解质界面交互、扩散输运等）2.了解电池老化建模技术，电池退化机理，失效原理和建模方法。3.了解电池热安全建模技术，电池链式热反应机理，热滥用建模原理和建模方法。任职要求：1.学历：硕士及以上（博士优先，电芯电化学仿真方向）2.工作经验：锂电行业经验背景优先。3.,电化学，物理，化学，材料工程相关专业，具有电芯电化学仿真开发经验优先。4.具备较强的材料，电化学，数……</v>
      </c>
      <c r="N243" s="7">
        <f t="shared" si="22"/>
        <v>0</v>
      </c>
      <c r="O243" s="7">
        <f t="shared" si="23"/>
        <v>0</v>
      </c>
    </row>
    <row r="244" spans="1:15">
      <c r="A244" s="7">
        <f t="shared" si="18"/>
        <v>30</v>
      </c>
      <c r="B244" s="7" t="s">
        <v>833</v>
      </c>
      <c r="C244" s="8" t="s">
        <v>834</v>
      </c>
      <c r="D244" s="7" t="s">
        <v>853</v>
      </c>
      <c r="E244" s="7">
        <v>1</v>
      </c>
      <c r="F244" s="7" t="s">
        <v>425</v>
      </c>
      <c r="G244" s="8" t="s">
        <v>854</v>
      </c>
      <c r="H244" s="7" t="s">
        <v>786</v>
      </c>
      <c r="I244" s="7" t="str">
        <f t="shared" si="21"/>
        <v>校招-锂电设备开发工程师（学历：硕士 专业要求：无）</v>
      </c>
      <c r="J244" s="7">
        <f t="shared" si="19"/>
        <v>279</v>
      </c>
      <c r="K244" s="7">
        <f>_xlfn.XLOOKUP(A244,长度要求!A:A,长度要求!E:E)</f>
        <v>500</v>
      </c>
      <c r="L244" s="7" t="str">
        <f t="shared" si="20"/>
        <v>工作内容1.负责锂电池及pack设备及其相关新技术开发任务，参与供应商技术交流，并完成设备技术方案及技术协议制定；2.跟进设备安装调试，并解决设备使用中的问题；3.不断跟踪行业设备技术发展方向、并进行新技术的研究及应用、专利的撰写及提交；4.编制设备及工装的相关技术文件等；5.完成部门其他相关工作任务。任职要求1.硕士研究生及以上学历，CET-6级，机械、电气、自动化等相关专业；2.具备良好的团队意识与沟通能力，工作积极主动，有较强的责任心和职业素养；3.具有较强的分析能力和创新意识、善于发现问题，并提出可行性解决方案；4.熟练应用二维、三维设计软件。</v>
      </c>
      <c r="N244" s="7">
        <f t="shared" si="22"/>
        <v>0</v>
      </c>
      <c r="O244" s="7">
        <f t="shared" si="23"/>
        <v>0</v>
      </c>
    </row>
    <row r="245" spans="1:15">
      <c r="A245" s="7">
        <f t="shared" si="18"/>
        <v>30</v>
      </c>
      <c r="B245" s="7" t="s">
        <v>833</v>
      </c>
      <c r="C245" s="8" t="s">
        <v>834</v>
      </c>
      <c r="D245" s="7" t="s">
        <v>855</v>
      </c>
      <c r="E245" s="7">
        <v>2</v>
      </c>
      <c r="F245" s="7" t="s">
        <v>641</v>
      </c>
      <c r="G245" s="8" t="s">
        <v>856</v>
      </c>
      <c r="H245" s="7" t="s">
        <v>786</v>
      </c>
      <c r="I245" s="7" t="str">
        <f t="shared" si="21"/>
        <v>校招-产品设计工程师（学历：博士 专业要求：无）</v>
      </c>
      <c r="J245" s="7">
        <f t="shared" si="19"/>
        <v>621</v>
      </c>
      <c r="K245" s="7">
        <f>_xlfn.XLOOKUP(A245,长度要求!A:A,长度要求!E:E)</f>
        <v>500</v>
      </c>
      <c r="L245" s="7" t="str">
        <f t="shared" si="20"/>
        <v>工作内容1.根据市场需求，技术发展趋势等预测产品需求，制定自研产品开发目标及战略规划；2.产品需求对接，确定电芯指标边界及合理性，明确电芯需求；3.完成项目电芯产品各部件SOR分解，完成产品性能、安全、成本、碳排放等产品技术指标；4.组织项目组成员制定产品的概念设计及迭代方案；根据项目阶段性要求，评审各职能团队技术指标达成情况，针对gap项分配责任人；5.跟踪并监督产品开发过程中发生的问题，推动产品问题的解决和落地；组织各模块完成产品的B-,P-图和FMEA；拉通工业化团队，输出工业化需求的设计信息，保证产品工业化落地；6.拉通平台组，结合产品的技术路线及材料的技术路线，输出产品平台体系要求，推动体系平台按照项目节点完成平台开发工作；对现有平台体系提出改进方案及意见，确保满足产品开发SOR；7.整合平台输出方案到产品试制中，平台整合开发计划、验证、结果及时与项目经理进行沟通；整合结构件输出方案产品试制中，推动结构件在产品开发中落地；整合内外部输入的项目新技术到产品开发验证中；8.结合项目产品、材料、结构、工艺、制造、测试等环节，开发衍生相关新技术；9.新技术专利布局；任职要求1.博士学……</v>
      </c>
      <c r="N245" s="7">
        <f t="shared" si="22"/>
        <v>0</v>
      </c>
      <c r="O245" s="7">
        <f t="shared" si="23"/>
        <v>0</v>
      </c>
    </row>
    <row r="246" spans="1:15">
      <c r="A246" s="7">
        <f t="shared" si="18"/>
        <v>30</v>
      </c>
      <c r="B246" s="7" t="s">
        <v>833</v>
      </c>
      <c r="C246" s="8" t="s">
        <v>834</v>
      </c>
      <c r="D246" s="7" t="s">
        <v>857</v>
      </c>
      <c r="E246" s="7">
        <v>1</v>
      </c>
      <c r="F246" s="7" t="s">
        <v>425</v>
      </c>
      <c r="G246" s="8" t="s">
        <v>858</v>
      </c>
      <c r="H246" s="7" t="s">
        <v>786</v>
      </c>
      <c r="I246" s="7" t="str">
        <f t="shared" si="21"/>
        <v>校招-锂电池电极结构设计工程师（学历：硕士 专业要求：无）</v>
      </c>
      <c r="J246" s="7">
        <f t="shared" si="19"/>
        <v>438</v>
      </c>
      <c r="K246" s="7">
        <f>_xlfn.XLOOKUP(A246,长度要求!A:A,长度要求!E:E)</f>
        <v>500</v>
      </c>
      <c r="L246" s="7" t="str">
        <f t="shared" si="20"/>
        <v>工作内容1.负责锂电池正负极箔材开发，包括但不限于构效关系识别，新型箔材开发（复合箔材、热机械响应箔材），电池失效中所有与箔材关联部分的分析，及与新箔材匹配的工艺开发etc.2.参与产品中电极结构设计，包括但不限于配方优化设计，电子传导通路设计，离子传导通路设计，机械约束网络设计，电芯产品性能参数预判etc.3.参与产品中电极结构制造缺陷问题（如：极片开裂，膜片脱落等）分析&amp;解决4.参与电极内离子输运，电子输运，机械约束机理探究5.参与创新电极结构的设计&amp;制造工艺探索6.参与电极结构设计仿真模型搭建&amp;完善任职要求1.学历：硕士及以上，优先博士；2.经历：有金属材料的研究经验，优先有先进铝箔&amp;铜箔研究经验；优先具备锂离子电池的基本设计能力3.专业：电化学、材料学、物理、化学、机械等理工科专业背景优先；4.优先参与过产品或技术开发流程，具有较强的团队合作精神，善于发现问题并可以通过逻辑思维进行问题的改进；5.具有较好的英文听说读写能力，有日语、韩语等其他语种能力亦可。</v>
      </c>
      <c r="N246" s="7">
        <f t="shared" si="22"/>
        <v>0</v>
      </c>
      <c r="O246" s="7">
        <f t="shared" si="23"/>
        <v>0</v>
      </c>
    </row>
    <row r="247" spans="1:15">
      <c r="A247" s="7">
        <f t="shared" si="18"/>
        <v>30</v>
      </c>
      <c r="B247" s="7" t="s">
        <v>833</v>
      </c>
      <c r="C247" s="8" t="s">
        <v>834</v>
      </c>
      <c r="D247" s="7" t="s">
        <v>859</v>
      </c>
      <c r="E247" s="7">
        <v>3</v>
      </c>
      <c r="F247" s="7" t="s">
        <v>425</v>
      </c>
      <c r="G247" s="8" t="s">
        <v>860</v>
      </c>
      <c r="H247" s="7" t="s">
        <v>786</v>
      </c>
      <c r="I247" s="7" t="str">
        <f t="shared" si="21"/>
        <v>校招-工艺开发工程师（学历：硕士 专业要求：无）</v>
      </c>
      <c r="J247" s="7">
        <f t="shared" si="19"/>
        <v>373</v>
      </c>
      <c r="K247" s="7">
        <f>_xlfn.XLOOKUP(A247,长度要求!A:A,长度要求!E:E)</f>
        <v>500</v>
      </c>
      <c r="L247" s="7" t="str">
        <f t="shared" si="20"/>
        <v>工作内容1、工艺技术开发，探索锂电前沿工艺，从工艺可行性分析和仿真机理分析角度开发新技术，以高创新高效率的方式服务产品落地；2、电池工艺设计，承接产品设计部门的技术指标，识别过程技术指标并策划DOE开展实验验证；3、过程工艺改善，现场跟进产品的生产过程，识别过程异常并分析异常原因，提出改善措施，完成闭环控制，编制文件并规范化。4、装配公差分析，能够自主分析产品的结构公差分析，了解过程的公差设计及失效模任职要求1.学历：硕士及以上；2.经历：有机械设计or仿真设计的研究经验，具备锂离子电池的基本设计能力。3.专业：机械、仿真、电化学、材料学、物理、化学等理工科专业背景优先；4.优先参与过产品或技术开发流程，具有较强的团队合作精神，善于发现问题并可以通过逻辑思维进行问题的改进；5.具有较好的英文听说读写能力，有日语、韩语等其他语种能力亦可。</v>
      </c>
      <c r="N247" s="7">
        <f t="shared" si="22"/>
        <v>0</v>
      </c>
      <c r="O247" s="7">
        <f t="shared" si="23"/>
        <v>0</v>
      </c>
    </row>
    <row r="248" spans="1:15">
      <c r="A248" s="7">
        <f t="shared" si="18"/>
        <v>30</v>
      </c>
      <c r="B248" s="7" t="s">
        <v>833</v>
      </c>
      <c r="C248" s="8" t="s">
        <v>834</v>
      </c>
      <c r="D248" s="7" t="s">
        <v>861</v>
      </c>
      <c r="E248" s="7">
        <v>1</v>
      </c>
      <c r="F248" s="7" t="s">
        <v>425</v>
      </c>
      <c r="G248" s="8" t="s">
        <v>862</v>
      </c>
      <c r="H248" s="7" t="s">
        <v>786</v>
      </c>
      <c r="I248" s="7" t="str">
        <f t="shared" si="21"/>
        <v>校招-电池系统集成测试工程师（学历：硕士 专业要求：无）</v>
      </c>
      <c r="J248" s="7">
        <f t="shared" si="19"/>
        <v>464</v>
      </c>
      <c r="K248" s="7">
        <f>_xlfn.XLOOKUP(A248,长度要求!A:A,长度要求!E:E)</f>
        <v>500</v>
      </c>
      <c r="L248" s="7" t="str">
        <f t="shared" si="20"/>
        <v>工作内容-开展电池包系统、子系统、零部件、材料等各个层级的机械、电气、热以及安全相关的测试和测试评价-开发测试规范来定义测试环境、工装夹具以及相关的测试仪器，并具有工装夹具以及测试设备的设计能力-负责测试流程、测试进度管理，并利用JIRA系统完成测试问题反馈和跟踪-确保测试数据质量，并完成测试数据分析和测试报告生成-协调外部测试设备资源和供应商资源，确保测试项目按照节点完成-支持FMEA和CAE分析相关工作支持从先期开发到量产节点的失效分析工作和测试评价任职要求-机械或工业技术相关专业，硕士及以上学历-具备汽车行业或者电池行业相关的工作经历-有丰富的机械测试知识（紧固件、焊接件、振动、冲击等）和材料相关的测试知识（拉伸强度、屈服强度、延展性等），对测试设备也比较了解，其它方面的如电气、EMC、Thermal相关的测试经验优先考虑-在夹具设计、制造方法等方面有丰富的经验-熟悉DFSS或者DRM工具（如FMEA，5Why，8-D，DRBTR等）-有很强的沟通、协调能力和自驱力，有整车或整包项目团队环境的工作经验优先考虑</v>
      </c>
      <c r="N248" s="7">
        <f t="shared" si="22"/>
        <v>0</v>
      </c>
      <c r="O248" s="7">
        <f t="shared" si="23"/>
        <v>0</v>
      </c>
    </row>
    <row r="249" spans="1:15">
      <c r="A249" s="7">
        <f t="shared" si="18"/>
        <v>30</v>
      </c>
      <c r="B249" s="7" t="s">
        <v>833</v>
      </c>
      <c r="C249" s="8" t="s">
        <v>834</v>
      </c>
      <c r="D249" s="7" t="s">
        <v>863</v>
      </c>
      <c r="E249" s="7">
        <v>1</v>
      </c>
      <c r="F249" s="7" t="s">
        <v>425</v>
      </c>
      <c r="G249" s="8" t="s">
        <v>864</v>
      </c>
      <c r="H249" s="7" t="s">
        <v>786</v>
      </c>
      <c r="I249" s="7" t="str">
        <f t="shared" si="21"/>
        <v>校招-电池系统工艺开发工程师（学历：硕士 专业要求：无）</v>
      </c>
      <c r="J249" s="7">
        <f t="shared" si="19"/>
        <v>391</v>
      </c>
      <c r="K249" s="7">
        <f>_xlfn.XLOOKUP(A249,长度要求!A:A,长度要求!E:E)</f>
        <v>500</v>
      </c>
      <c r="L249" s="7" t="str">
        <f t="shared" si="20"/>
        <v>工作内容研发项目阶段电池系统产品的工艺开发-研发阶段电池包系统设计方案评审、零部件设计评审-规划电池包系统设计的工艺方案；完成各个研发阶段产品的可制造性评审-规划样件试制所需的资源需求；主导需求实现（与组织内各职能小组合作-工装设备工艺需求SOR，等）-研发项目阶段各节点工艺开发技术状态汇报-研发项目阶段工艺文档编写试制工程技术开发、验证与实现-零部件属性适配工艺方案的可行性分析与实现（工艺验证方案开发、验证计划与验证实施）-具体的工艺方案开发（产品设计指标的符合性开发-测试方法、验证方案、工艺规格书等）-创新工艺技术的开发（对标行业技术、产品和趋势；基于产业化收益和设计属性收益）-技术文档编写任职要求-材料成型、机械、电气等专业研究生；-较强的逻辑思考能力、系统性分析能力；能设立挑战性目标；具有创新能力；目标导向-具备支持工作职责的办公软件、机械制图建模等软件的使用技能</v>
      </c>
      <c r="N249" s="7">
        <f t="shared" si="22"/>
        <v>0</v>
      </c>
      <c r="O249" s="7">
        <f t="shared" si="23"/>
        <v>0</v>
      </c>
    </row>
    <row r="250" spans="1:15">
      <c r="A250" s="7">
        <f t="shared" si="18"/>
        <v>30</v>
      </c>
      <c r="B250" s="7" t="s">
        <v>833</v>
      </c>
      <c r="C250" s="8" t="s">
        <v>834</v>
      </c>
      <c r="D250" s="7" t="s">
        <v>865</v>
      </c>
      <c r="E250" s="7">
        <v>1</v>
      </c>
      <c r="F250" s="7" t="s">
        <v>192</v>
      </c>
      <c r="G250" s="8" t="s">
        <v>866</v>
      </c>
      <c r="H250" s="7" t="s">
        <v>786</v>
      </c>
      <c r="I250" s="7" t="str">
        <f t="shared" si="21"/>
        <v>校招-产品质量工程师（学历：本科 专业要求：无）</v>
      </c>
      <c r="J250" s="7">
        <f t="shared" si="19"/>
        <v>266</v>
      </c>
      <c r="K250" s="7">
        <f>_xlfn.XLOOKUP(A250,长度要求!A:A,长度要求!E:E)</f>
        <v>500</v>
      </c>
      <c r="L250" s="7" t="str">
        <f t="shared" si="20"/>
        <v>工作内容-负责在电池包/电芯新项目启动时制定项目研发质量目标制定，并推进质量目标达成；-负责在研项目问题管理，并牵头问题PDCA闭环，-负责在研发项目中牵头进行DFMEA等研发相关质量活动落地;-负责市场及售后L&amp;L在研发项目中的应用和闭环;-支持研发项目的数据管理和变更管理;任职要求学历：本科及以上（硕士优先）工作经验：有相关制造业工作/实习经验，熟悉质量管理相关工作或有较强的意愿；电化学，物理，化学，材料工程，数理/统计学等相关专业；具备较强的沟通表达能力、组织协调能力、逻辑思维、学习能力；精通Python，SQL等更佳。</v>
      </c>
      <c r="N250" s="7">
        <f t="shared" si="22"/>
        <v>0</v>
      </c>
      <c r="O250" s="7">
        <f t="shared" si="23"/>
        <v>0</v>
      </c>
    </row>
    <row r="251" spans="1:15">
      <c r="A251" s="7">
        <f t="shared" si="18"/>
        <v>30</v>
      </c>
      <c r="B251" s="7" t="s">
        <v>833</v>
      </c>
      <c r="C251" s="8" t="s">
        <v>834</v>
      </c>
      <c r="D251" s="7" t="s">
        <v>867</v>
      </c>
      <c r="E251" s="7">
        <v>1</v>
      </c>
      <c r="F251" s="7" t="s">
        <v>425</v>
      </c>
      <c r="G251" s="8" t="s">
        <v>868</v>
      </c>
      <c r="H251" s="7" t="s">
        <v>786</v>
      </c>
      <c r="I251" s="7" t="str">
        <f t="shared" si="21"/>
        <v>校招-研发质量体系工程师（学历：硕士 专业要求：无）</v>
      </c>
      <c r="J251" s="7">
        <f t="shared" si="19"/>
        <v>429</v>
      </c>
      <c r="K251" s="7">
        <f>_xlfn.XLOOKUP(A251,长度要求!A:A,长度要求!E:E)</f>
        <v>500</v>
      </c>
      <c r="L251" s="7" t="str">
        <f t="shared" si="20"/>
        <v>工作内容1.负责电池系统部门流程体系的策划与搭建，监控流程的执行情况。2.负责与整车项目管理对接，梳理明确电池开发流程与整车的交互关系，新产品开发流程的建立与优化，包括流程需求的收集，分解，规划，编写，推动。在变革项目、流程项目及日常运作中深入一线业务，归纳总结业务流程问题，从流程角度制定解决方案，推动流程、业务规则的标准化并持续改进。特定流程的专项调查，解决，支持等活动。支持BMS软件及大数据开发流程的维护优化。3.负责与电源管理部门对接，梳理明确换点相关业务流程的交互关系及系统打通，并持续优化，保障相关人员理解业务流程规则、系统运作规则。任职要求学历：硕士及以上，优秀的本科可考虑。专业：车辆工程、机械，质量管理、电化学，材料工程相关专业，具有电池或整车企业实习经验优先。积极认真，具有较强的系统性思维，良好的跨组织沟通协调能力。熟悉Word/PPT/Excel办公软件，具有Visio软件和CAD软件能力优先。熟练的英语听说读写能力，CET-6。</v>
      </c>
      <c r="N251" s="7">
        <f t="shared" si="22"/>
        <v>0</v>
      </c>
      <c r="O251" s="7">
        <f t="shared" si="23"/>
        <v>0</v>
      </c>
    </row>
    <row r="252" spans="1:15">
      <c r="A252" s="7">
        <f t="shared" si="18"/>
        <v>30</v>
      </c>
      <c r="B252" s="7" t="s">
        <v>833</v>
      </c>
      <c r="C252" s="8" t="s">
        <v>834</v>
      </c>
      <c r="D252" s="7" t="s">
        <v>869</v>
      </c>
      <c r="E252" s="7">
        <v>1</v>
      </c>
      <c r="F252" s="7" t="s">
        <v>425</v>
      </c>
      <c r="G252" s="8" t="s">
        <v>870</v>
      </c>
      <c r="H252" s="7" t="s">
        <v>786</v>
      </c>
      <c r="I252" s="7" t="str">
        <f t="shared" si="21"/>
        <v>校招-Block工程师（学历：硕士 专业要求：无）</v>
      </c>
      <c r="J252" s="7">
        <f t="shared" si="19"/>
        <v>416</v>
      </c>
      <c r="K252" s="7">
        <f>_xlfn.XLOOKUP(A252,长度要求!A:A,长度要求!E:E)</f>
        <v>500</v>
      </c>
      <c r="L252" s="7" t="str">
        <f t="shared" si="20"/>
        <v>工作内容1、按照项目需求和计划完成电池包注塑件的结构设计、开发;2、熟悉高分子改性材料的加工工艺、产品特性，参与材料认证及新材料开发；3、按照项目需求和计划完成电池包胶类材料的开发和应用，包括结构胶，灌封胶，导热胶等4、针对项目需求，与合作伙伴合作定制开发电池包内用胶，根据实际应用工况，给出设计和优化方案；5、具备注塑件模具设计能力，支持合作伙伴完成注塑模开发，负责开模前评估,试模检讨以及试产\模具验收，负责供应商技术能力评估，结构件工程估价成本核算6、负责产品图、爆炸图、过程装配图纸等制作,配合知识产权等相关部门的工作;7、完成技术规格书、设计图档、测试报告等项目相关技术文件资料编制;任职要求1、高分子专业硕士学历，熟悉胶水配方开发和应用/材料成型及模具设计等相关专业，具备注塑件工艺基础知识2、有工程制图基础，熟练3D/2D设计软件者优先；3、较强的逻辑思考能力、系统性分析能力；能设立挑战性目标；具有创新能力；目标导向</v>
      </c>
      <c r="N252" s="7">
        <f t="shared" si="22"/>
        <v>0</v>
      </c>
      <c r="O252" s="7">
        <f t="shared" si="23"/>
        <v>0</v>
      </c>
    </row>
    <row r="253" spans="1:15">
      <c r="A253" s="7">
        <f t="shared" si="18"/>
        <v>30</v>
      </c>
      <c r="B253" s="7" t="s">
        <v>833</v>
      </c>
      <c r="C253" s="8" t="s">
        <v>834</v>
      </c>
      <c r="D253" s="7" t="s">
        <v>871</v>
      </c>
      <c r="E253" s="7">
        <v>1</v>
      </c>
      <c r="F253" s="7" t="s">
        <v>425</v>
      </c>
      <c r="G253" s="8" t="s">
        <v>872</v>
      </c>
      <c r="H253" s="7" t="s">
        <v>786</v>
      </c>
      <c r="I253" s="7" t="str">
        <f t="shared" si="21"/>
        <v>校招-热管理工程师（学历：硕士 专业要求：无）</v>
      </c>
      <c r="J253" s="7">
        <f t="shared" si="19"/>
        <v>351</v>
      </c>
      <c r="K253" s="7">
        <f>_xlfn.XLOOKUP(A253,长度要求!A:A,长度要求!E:E)</f>
        <v>500</v>
      </c>
      <c r="L253" s="7" t="str">
        <f t="shared" si="20"/>
        <v>工作内容1.负责电池热管理零部件（冷板、冷管、阀，保温材料，导热胶）的开发设计；2.负责热管理零部件的SOR（技术要求）的编制及外发，3D建模及工程出图；3.负责电池热管理系统质量目标、成本目标和技术降本工作；4.负责编制完成DFMEA、YCYS支持项目节点评审；5.负责电池热管理系统各个零部件BOM、成本编制；6.负责电池热管理系统及零件专利点的识别及撰写工作；7.负责电池热管理零部件设计开发、可靠性验证及问题解决；8.负责电池热管理零部件供应商的开发、对接及管控工作；9.协助热属性设定电池热管理策略、热管理性能目标值；任职要求硕士以上学历,机械及动力工程等相关专业，有一定的流体力学理论学习基础；有工程制图基础，熟练3D/2D设计软件；积极进取，学习能力强；具有团队意识，良好的沟通协作能力；</v>
      </c>
      <c r="N253" s="7">
        <f t="shared" si="22"/>
        <v>0</v>
      </c>
      <c r="O253" s="7">
        <f t="shared" si="23"/>
        <v>0</v>
      </c>
    </row>
    <row r="254" spans="1:15">
      <c r="A254" s="7">
        <f t="shared" si="18"/>
        <v>30</v>
      </c>
      <c r="B254" s="7" t="s">
        <v>833</v>
      </c>
      <c r="C254" s="8" t="s">
        <v>834</v>
      </c>
      <c r="D254" s="7" t="s">
        <v>873</v>
      </c>
      <c r="E254" s="7">
        <v>2</v>
      </c>
      <c r="F254" s="7" t="s">
        <v>425</v>
      </c>
      <c r="G254" s="8" t="s">
        <v>874</v>
      </c>
      <c r="H254" s="7" t="s">
        <v>786</v>
      </c>
      <c r="I254" s="7" t="str">
        <f t="shared" si="21"/>
        <v>校招-电气工程师（学历：硕士 专业要求：无）</v>
      </c>
      <c r="J254" s="7">
        <f t="shared" si="19"/>
        <v>372</v>
      </c>
      <c r="K254" s="7">
        <f>_xlfn.XLOOKUP(A254,长度要求!A:A,长度要求!E:E)</f>
        <v>500</v>
      </c>
      <c r="L254" s="7" t="str">
        <f t="shared" si="20"/>
        <v>工作内容1.负责电池PACK电气件的3D设计、2D工程制图、SOR、DVP、YCYS、DFMEA等文件的编制，DFM评估，以及所设计零件的工程估价。电气件涉及种类包含EDM（含保险丝、继电器等器件），线束，FPC，铜铝巴等；2.协助设计电池PACK高压架构，协助完成电气原理图，选型匹配报告等文件的编制；3.了解新能源车载电气件的使用要求，熟悉继电器、保险丝等器件的工作原理和物理特性，对铜铝材料的物性参数有一定的了解；4.对冲压件、注塑件、机加工件、复合材料件的设计以及制造有一定的了解；5.能够接受紧急出差，试制跟产，产线装配支持等工作；6.能够完成领导安排的其他工作。任职要求硕士以上学历,机械及电子电气等相关专业；有一定的PCBA基础知识；有工程制图基础，熟练3D/2D设计软件；积极进取，学习能力强；具有团队意识，良好的沟通协作能力；</v>
      </c>
      <c r="N254" s="7">
        <f t="shared" si="22"/>
        <v>0</v>
      </c>
      <c r="O254" s="7">
        <f t="shared" si="23"/>
        <v>0</v>
      </c>
    </row>
    <row r="255" spans="1:15">
      <c r="A255" s="7">
        <f t="shared" si="18"/>
        <v>30</v>
      </c>
      <c r="B255" s="7" t="s">
        <v>833</v>
      </c>
      <c r="C255" s="8" t="s">
        <v>834</v>
      </c>
      <c r="D255" s="7" t="s">
        <v>875</v>
      </c>
      <c r="E255" s="7">
        <v>2</v>
      </c>
      <c r="F255" s="7" t="s">
        <v>425</v>
      </c>
      <c r="G255" s="8" t="s">
        <v>876</v>
      </c>
      <c r="H255" s="7" t="s">
        <v>786</v>
      </c>
      <c r="I255" s="7" t="str">
        <f t="shared" si="21"/>
        <v>校招-机械结构工程师（学历：硕士 专业要求：无）</v>
      </c>
      <c r="J255" s="7">
        <f t="shared" si="19"/>
        <v>321</v>
      </c>
      <c r="K255" s="7">
        <f>_xlfn.XLOOKUP(A255,长度要求!A:A,长度要求!E:E)</f>
        <v>500</v>
      </c>
      <c r="L255" s="7" t="str">
        <f t="shared" si="20"/>
        <v>工作内容：（1）负责电池PACK机械结构件的3D设计、2D工程制图、SOR、DVP、YCYS、DFMEA等文件的编制，DFM评估，紧固件选用以及所设计零件的工程估价工作。结构件涉及种类包含箱体，上盖，底护板，电气类零件的壳体，防爆阀等。（2）对压铸件、冲压件、注塑件、机加工件、复合材料件的设计以及制造有一定的了解。（3）能够接受紧急出差，试制跟产，产线装配支持等工作。（4）能够完成领导安排的其他工作。任职要求学历以及技能要求：（1）具有机械工程、车辆工程或其他机械类专业的硕士学位。（2）熟练使用3D建模软件（CATIA优先）、熟悉GD&amp;T与工程制图。（3）具有团队意识，基本的沟通协作能力。（4）对工作中遇到的新知识具有良好的学习意愿。</v>
      </c>
      <c r="N255" s="7">
        <f t="shared" si="22"/>
        <v>0</v>
      </c>
      <c r="O255" s="7">
        <f t="shared" si="23"/>
        <v>0</v>
      </c>
    </row>
    <row r="256" spans="1:15">
      <c r="A256" s="7">
        <f t="shared" si="18"/>
        <v>30</v>
      </c>
      <c r="B256" s="7" t="s">
        <v>833</v>
      </c>
      <c r="C256" s="8" t="s">
        <v>834</v>
      </c>
      <c r="D256" s="7" t="s">
        <v>877</v>
      </c>
      <c r="E256" s="7">
        <v>1</v>
      </c>
      <c r="F256" s="7" t="s">
        <v>192</v>
      </c>
      <c r="G256" s="8" t="s">
        <v>878</v>
      </c>
      <c r="H256" s="7" t="s">
        <v>786</v>
      </c>
      <c r="I256" s="7" t="str">
        <f t="shared" si="21"/>
        <v>校招-BMS测试工程师（学历：本科 专业要求：无）</v>
      </c>
      <c r="J256" s="7">
        <f t="shared" si="19"/>
        <v>459</v>
      </c>
      <c r="K256" s="7">
        <f>_xlfn.XLOOKUP(A256,长度要求!A:A,长度要求!E:E)</f>
        <v>500</v>
      </c>
      <c r="L256" s="7" t="str">
        <f t="shared" si="20"/>
        <v>工作内容1.根据BMS功能需求文档设计测试规范，在电池Pack或者试验车上进行功能集成验证；2.基于法规和电芯特性、FMEA分析，完成DOE开发，实现对BMS核心算法，如SOC/SOF/SOH/Balancing/ThermalManagement的精度和可靠性的验证3.通过分析现场数据，找出软件实现的Bug或者功能需求的不合理性4.通过云端数据，深度挖掘和用户驾驶体验相关的极端工况，并生成工况数据，反复验证软件算法，实现数据闭环5.基于换电、BaaS等业务模式，分析用户使用场景，提前完成各个场景下的软件功能验证，确保提供极致的用户体验任职要求1.能熟练使用MATLAB/Simulink，具备INCA、CAN工具的使用基础;2.具备Python或C语言的编程基础;3.有汽车驾驶经验4.具有相关的电池管理系统开发经验，具备LFP/NCM等电池系统的开发经验者优先考虑5.对于CAN、Daisychain等总线技术有一定的了解，有相关的项目开发经验者优先考虑6.本科及以上学历，汽车或自动化、通讯、电子等相关专业</v>
      </c>
      <c r="N256" s="7">
        <f t="shared" si="22"/>
        <v>0</v>
      </c>
      <c r="O256" s="7">
        <f t="shared" si="23"/>
        <v>0</v>
      </c>
    </row>
    <row r="257" spans="1:15">
      <c r="A257" s="7">
        <f t="shared" si="18"/>
        <v>30</v>
      </c>
      <c r="B257" s="7" t="s">
        <v>833</v>
      </c>
      <c r="C257" s="8" t="s">
        <v>834</v>
      </c>
      <c r="D257" s="7" t="s">
        <v>877</v>
      </c>
      <c r="E257" s="7">
        <v>2</v>
      </c>
      <c r="F257" s="7" t="s">
        <v>192</v>
      </c>
      <c r="G257" s="8" t="s">
        <v>879</v>
      </c>
      <c r="H257" s="7" t="s">
        <v>786</v>
      </c>
      <c r="I257" s="7" t="str">
        <f t="shared" si="21"/>
        <v>校招-BMS测试工程师（学历：本科 专业要求：无）</v>
      </c>
      <c r="J257" s="7">
        <f t="shared" si="19"/>
        <v>367</v>
      </c>
      <c r="K257" s="7">
        <f>_xlfn.XLOOKUP(A257,长度要求!A:A,长度要求!E:E)</f>
        <v>500</v>
      </c>
      <c r="L257" s="7" t="str">
        <f t="shared" si="20"/>
        <v>工作内容1.根据系统需求文档设计测试，对BMS软件开展软件集成测试和系统集成测试;2.利用ECU-TEST,INCA,CANoe等工具完成自动化测试用例的开发;3.基于ETAS硬件在环仿真设备完成BMSHIL环境的配置和集成调试；4.基于Python、ECU-TEST、Excel等工具完成测试用例自动生成环境的开发和维护；任职要求1.能熟练使用MATLAB/Simulink，具备INCA、CAN工具的使用基础;2.具备Python或C语言的编程基础;3.对ETAS,dSPACE的HIL设备有一定的了解4.具有相关的电池管理系统开发经验，具备LFP/NCM等电池系统的开发经验者优先考虑5.对于CAN、Daisychain等总线技术有一定的了解，有相关的项目开发经验者优先考虑6.本科及以上学历，汽车或自动化、通讯、电子等相关专业</v>
      </c>
      <c r="N257" s="7">
        <f t="shared" si="22"/>
        <v>0</v>
      </c>
      <c r="O257" s="7">
        <f t="shared" si="23"/>
        <v>0</v>
      </c>
    </row>
    <row r="258" spans="1:15">
      <c r="A258" s="7">
        <f t="shared" ref="A258:A321" si="24">COUNTIF(B:B,B258)</f>
        <v>30</v>
      </c>
      <c r="B258" s="7" t="s">
        <v>833</v>
      </c>
      <c r="C258" s="8" t="s">
        <v>834</v>
      </c>
      <c r="D258" s="7" t="s">
        <v>880</v>
      </c>
      <c r="E258" s="7">
        <v>2</v>
      </c>
      <c r="F258" s="7" t="s">
        <v>425</v>
      </c>
      <c r="G258" s="8" t="s">
        <v>881</v>
      </c>
      <c r="H258" s="7" t="s">
        <v>786</v>
      </c>
      <c r="I258" s="7" t="str">
        <f t="shared" si="21"/>
        <v>校招-BMS硬件工程师（学历：硕士 专业要求：无）</v>
      </c>
      <c r="J258" s="7">
        <f t="shared" ref="J258:J321" si="25">LEN(G258)</f>
        <v>665</v>
      </c>
      <c r="K258" s="7">
        <f>_xlfn.XLOOKUP(A258,长度要求!A:A,长度要求!E:E)</f>
        <v>500</v>
      </c>
      <c r="L258" s="7" t="str">
        <f t="shared" ref="L258:L321" si="26">IF(J258&lt;K258,G258,LEFT(G258,K258)&amp;"……")</f>
        <v>工作内容1.基于硬件系统需求、HSIS，完成硬件需求开发，硬件架构设计和硬件设计规范开发；2.完成原理图设计开发、芯片选型和BOM制作，并基于成本模型，完成BOM优化；3.协调电池系统结构设计和电气设计部门完成BMS的尺寸匹配、电气连接、散热、EMC以及安规等设计方案的确认4.完成PCBLayout开发和审核，完成PCB的调试，完成BMS样件的DV和PV测试验证5.完成BMS硬件开发各个阶段输出物的提交，并完成DFMEA,FMEDA等文档的编制和交付6.负责硬件单元电路和模块功能的测试验证，利用示波器、温箱、电子负载以及电芯测试工装的设备，完成电路的信号测量和功能验证任职要求1.熟悉汽车级芯片的应用，掌握模拟电路及数字电路的分析与设计技能；可独立完成模块化硬件电路开发、理论计算、worstcase分析工作2.具有熟练的电路调试和测试能力，有一定的上下电时序、SI、EMC、纹波噪声、温升等测试能力3.熟悉电池管理系统的硬件结构，关键电路以及电气参数的理论计算和设计验证，有高压系统开发经验这优先考虑4.熟悉CAN总线，模拟前端电路，DCDC模块，熟悉主流的处理器芯片应用，如Infineon……</v>
      </c>
      <c r="N258" s="7">
        <f t="shared" si="22"/>
        <v>0</v>
      </c>
      <c r="O258" s="7">
        <f t="shared" si="23"/>
        <v>0</v>
      </c>
    </row>
    <row r="259" spans="1:15">
      <c r="A259" s="7">
        <f t="shared" si="24"/>
        <v>30</v>
      </c>
      <c r="B259" s="7" t="s">
        <v>833</v>
      </c>
      <c r="C259" s="8" t="s">
        <v>834</v>
      </c>
      <c r="D259" s="7" t="s">
        <v>882</v>
      </c>
      <c r="E259" s="7">
        <v>2</v>
      </c>
      <c r="F259" s="7" t="s">
        <v>192</v>
      </c>
      <c r="G259" s="8" t="s">
        <v>883</v>
      </c>
      <c r="H259" s="7" t="s">
        <v>786</v>
      </c>
      <c r="I259" s="7" t="str">
        <f t="shared" ref="I259:I322" si="27">_xlfn.CONCAT(D259,"（学历：",F259," 专业要求：",IF(ISBLANK(M259),"无",M259),"）")</f>
        <v>校招-BMS底软开发工程师（学历：本科 专业要求：无）</v>
      </c>
      <c r="J259" s="7">
        <f t="shared" si="25"/>
        <v>450</v>
      </c>
      <c r="K259" s="7">
        <f>_xlfn.XLOOKUP(A259,长度要求!A:A,长度要求!E:E)</f>
        <v>500</v>
      </c>
      <c r="L259" s="7" t="str">
        <f t="shared" si="26"/>
        <v>工作内容1.基于系统需求，完成基础软件需求分析，模块详细设计；2.基于详细设计，usermanual等，完成软件模块开发，调试和单元测试工作；3.软件平台的移值，匹配，软件集成等相关工作内容；4.测试及开发环境的相关脚本，集成环境的开发；5.基础软件相关的issue排查处理工作支持；6.基础软件供应商开发及管理工作。任职要求1.熟悉汽车级嵌入式处理器（Aurix，S32K，Renesas等主流芯片），了解其基本原理，具备驱动开发及问题排查能力2.具有熟练的Python和C编程基础，有QAC/Tessy/Lauterbach以及实时调试分析工具，如T1的使用经验;3.熟悉CAN总线协议，能使用CAN工具进行总线监控和数据分析4.熟悉UDS诊断协议，能够使用CANdela/CANdiva编制cdd以及UDS测试；5.对于AUTOSAR软件架构以及操作系统有丰富的经验，有操作系统移植经验者优先考虑6.具有一定的Git和Jenkins使用经验7.本科及以上学历，汽车或自动化、通讯、电子等相关专业</v>
      </c>
      <c r="N259" s="7">
        <f t="shared" ref="N259:N322" si="28">LEN(M259)</f>
        <v>0</v>
      </c>
      <c r="O259" s="7">
        <f t="shared" ref="O259:O322" si="29">IF(ISBLANK(M259),0,COUNTA(_xlfn.TEXTSPLIT(M259,",")))</f>
        <v>0</v>
      </c>
    </row>
    <row r="260" spans="1:15">
      <c r="A260" s="7">
        <f t="shared" si="24"/>
        <v>30</v>
      </c>
      <c r="B260" s="7" t="s">
        <v>833</v>
      </c>
      <c r="C260" s="8" t="s">
        <v>834</v>
      </c>
      <c r="D260" s="7" t="s">
        <v>884</v>
      </c>
      <c r="E260" s="7">
        <v>4</v>
      </c>
      <c r="F260" s="7" t="s">
        <v>425</v>
      </c>
      <c r="G260" s="8" t="s">
        <v>885</v>
      </c>
      <c r="H260" s="7" t="s">
        <v>786</v>
      </c>
      <c r="I260" s="7" t="str">
        <f t="shared" si="27"/>
        <v>校招-BMS算法开发工程师（学历：硕士 专业要求：无）</v>
      </c>
      <c r="J260" s="7">
        <f t="shared" si="25"/>
        <v>492</v>
      </c>
      <c r="K260" s="7">
        <f>_xlfn.XLOOKUP(A260,长度要求!A:A,长度要求!E:E)</f>
        <v>500</v>
      </c>
      <c r="L260" s="7" t="str">
        <f t="shared" si="26"/>
        <v>工作内容1.负责BMS软件需求与软件功能开发；2.负责BMS软件架构设计与功能安全软件开发3.负责BMS模块单元测试，参与完成HIL与整车测试；4.负责量产与样件开发过程中的问题排查与数据分析，并汇报解决方案5.负责支持开发过程中的整车/电池包/电芯级别的试验6.负责电池寿命/电池安全算法的开发，电池实验以及特征数据分析，并结合机理分析和数据特征，完成算法的开发任职要求1.硕士及以上学历，自动化，电化学，车辆，通信等相关专业；2.熟练掌握锂离子动力电池特性，熟悉电池相关核心算法（包括SOC，SOH，SOE，SOP等）；3.熟悉锂离子电池安全相关检测算法（包括析锂，内短路，自放电等）；4.熟悉BMS高低压控制模块优先（包括高压上下电，碰撞检测，绝缘检测等）；5.熟悉BMS系统架构，电池特性，性能参数，电性能试验，测试分析方法优先；6.熟悉MBD开发流程，熟练使用Matlab/Simulink建模和代码生成优先；7.熟悉C语言/M语言/Python语言等相关编程语言优先；8.英语6级，良好的英文阅读和算法创新能力；9.性格开朗，具备较强的逻辑表达，沟通协调能力，抗压能力强；</v>
      </c>
      <c r="N260" s="7">
        <f t="shared" si="28"/>
        <v>0</v>
      </c>
      <c r="O260" s="7">
        <f t="shared" si="29"/>
        <v>0</v>
      </c>
    </row>
    <row r="261" spans="1:15">
      <c r="A261" s="7">
        <f t="shared" si="24"/>
        <v>30</v>
      </c>
      <c r="B261" s="7" t="s">
        <v>833</v>
      </c>
      <c r="C261" s="8" t="s">
        <v>834</v>
      </c>
      <c r="D261" s="7" t="s">
        <v>886</v>
      </c>
      <c r="E261" s="7">
        <v>2</v>
      </c>
      <c r="F261" s="7" t="s">
        <v>425</v>
      </c>
      <c r="G261" s="8" t="s">
        <v>887</v>
      </c>
      <c r="H261" s="7" t="s">
        <v>786</v>
      </c>
      <c r="I261" s="7" t="str">
        <f t="shared" si="27"/>
        <v>校招-BMS系统开发工程师（学历：硕士 专业要求：无）</v>
      </c>
      <c r="J261" s="7">
        <f t="shared" si="25"/>
        <v>641</v>
      </c>
      <c r="K261" s="7">
        <f>_xlfn.XLOOKUP(A261,长度要求!A:A,长度要求!E:E)</f>
        <v>500</v>
      </c>
      <c r="L261" s="7" t="str">
        <f t="shared" si="26"/>
        <v>工作内容1.负责BMS功能开发，基于各个电池包项目的设计指标以及差异性分析，完成BMS功能定义和功能规范的编制2.负责BMS功能的落地执行，负责BMS需求分析，用户场景以及对应场景下的功能和性能需求，以及诊断需求的定义，并完成软件需求和测试用例的评审，确保功能需求正确执行3.负责BMS功能失效分析，主导完成DFMEA,FTA等可靠性设计文件开发评审，以及ISO26262功能安全开发文件的设计与评审（HARA,FSC,TSC,FMEDA，SafetyCase等）4.与整车部门和换电部门对接，完成整车FDS的分解和功能导入以及对换电功能的影响分析，完成FDS转化为BMS的功能需求6.负责技术指标以及系统交付物的确认，负责通讯矩阵，诊断调查表的开发以及负责在研项目整车节点开发需求与BMS功能需求的匹配和任务分解7.负责BMS零部件的项目开发管理，基于Pack项目开发计划，完成BMS零部件开发计划的管理和零部件层级的功能集成和功能验收任职要求1.硕士及以上学历，计算机/机械/电气工程/自动化等相关专业2.熟悉整车电子电气，或者汽车零部件相关的开发流程；3.熟悉BMS系统架构和功能列表，有BMS……</v>
      </c>
      <c r="N261" s="7">
        <f t="shared" si="28"/>
        <v>0</v>
      </c>
      <c r="O261" s="7">
        <f t="shared" si="29"/>
        <v>0</v>
      </c>
    </row>
    <row r="262" spans="1:15">
      <c r="A262" s="7">
        <f t="shared" si="24"/>
        <v>30</v>
      </c>
      <c r="B262" s="7" t="s">
        <v>833</v>
      </c>
      <c r="C262" s="8" t="s">
        <v>834</v>
      </c>
      <c r="D262" s="7" t="s">
        <v>888</v>
      </c>
      <c r="E262" s="7">
        <v>3</v>
      </c>
      <c r="F262" s="7" t="s">
        <v>192</v>
      </c>
      <c r="G262" s="8" t="s">
        <v>889</v>
      </c>
      <c r="H262" s="7" t="s">
        <v>786</v>
      </c>
      <c r="I262" s="7" t="str">
        <f t="shared" si="27"/>
        <v>校招-金融sparks（学历：本科 专业要求：无）</v>
      </c>
      <c r="J262" s="7">
        <f t="shared" si="25"/>
        <v>190</v>
      </c>
      <c r="K262" s="7">
        <f>_xlfn.XLOOKUP(A262,长度要求!A:A,长度要求!E:E)</f>
        <v>500</v>
      </c>
      <c r="L262" s="7" t="str">
        <f t="shared" si="26"/>
        <v>工作内容•管培生会有为期2年的轮岗安排，会视实际情况安排至战略规划、风控、产品与市场、运营部门轮岗，深入了解公司金融团队运作；•熟悉各岗位工作职责，善于发现问题，提出问题并解决问题，提高工作效率及输出结果。任职要求财务或金融类相关专业，本科及以上学历；•强逻辑思维、统计及分析能较强，对数据敏感；•做事严谨、踏实，具有良好的敬业精神、沟通能力和团队精神，有较强的上进心及学习欲望。</v>
      </c>
      <c r="N262" s="7">
        <f t="shared" si="28"/>
        <v>0</v>
      </c>
      <c r="O262" s="7">
        <f t="shared" si="29"/>
        <v>0</v>
      </c>
    </row>
    <row r="263" spans="1:15">
      <c r="A263" s="7">
        <f t="shared" si="24"/>
        <v>30</v>
      </c>
      <c r="B263" s="7" t="s">
        <v>833</v>
      </c>
      <c r="C263" s="8" t="s">
        <v>834</v>
      </c>
      <c r="D263" s="7" t="s">
        <v>890</v>
      </c>
      <c r="E263" s="7">
        <v>5</v>
      </c>
      <c r="F263" s="7" t="s">
        <v>192</v>
      </c>
      <c r="G263" s="8" t="s">
        <v>891</v>
      </c>
      <c r="H263" s="7" t="s">
        <v>786</v>
      </c>
      <c r="I263" s="7" t="str">
        <f t="shared" si="27"/>
        <v>校招-财务sparks（学历：本科 专业要求：无）</v>
      </c>
      <c r="J263" s="7">
        <f t="shared" si="25"/>
        <v>199</v>
      </c>
      <c r="K263" s="7">
        <f>_xlfn.XLOOKUP(A263,长度要求!A:A,长度要求!E:E)</f>
        <v>500</v>
      </c>
      <c r="L263" s="7" t="str">
        <f t="shared" si="26"/>
        <v>工作内容•管培生会有为期2年的轮岗安排，会视实际情况安排至Accounting、FP&amp;A、FinanceBP等部门轮岗，深入了解公司财务运作；•熟悉各岗位工作职责，善于发现问题，提出问题并解决问题，提高工作效率及输出结果。任职要求•财务或金融类相关专业，本科及以上学历；•强逻辑思维、统计及分析能较强，对数据敏感；•做事严谨、踏实，具有良好的敬业精神、沟通能力和团队精神，有较强的上进心及学习欲望。</v>
      </c>
      <c r="N263" s="7">
        <f t="shared" si="28"/>
        <v>0</v>
      </c>
      <c r="O263" s="7">
        <f t="shared" si="29"/>
        <v>0</v>
      </c>
    </row>
    <row r="264" spans="1:15">
      <c r="A264" s="7">
        <f t="shared" si="24"/>
        <v>30</v>
      </c>
      <c r="B264" s="7" t="s">
        <v>833</v>
      </c>
      <c r="C264" s="8" t="s">
        <v>834</v>
      </c>
      <c r="D264" s="7" t="s">
        <v>892</v>
      </c>
      <c r="E264" s="7">
        <v>11</v>
      </c>
      <c r="F264" s="7" t="s">
        <v>192</v>
      </c>
      <c r="G264" s="8" t="s">
        <v>893</v>
      </c>
      <c r="H264" s="7" t="s">
        <v>786</v>
      </c>
      <c r="I264" s="7" t="str">
        <f t="shared" si="27"/>
        <v>校招-人力资源校招生-HR Sparks（学历：本科 专业要求：无）</v>
      </c>
      <c r="J264" s="7">
        <f t="shared" si="25"/>
        <v>295</v>
      </c>
      <c r="K264" s="7">
        <f>_xlfn.XLOOKUP(A264,长度要求!A:A,长度要求!E:E)</f>
        <v>500</v>
      </c>
      <c r="L264" s="7" t="str">
        <f t="shared" si="26"/>
        <v>工作内容1.参与人力资源三支柱：COE,HRBP及EPC三大模块的人力资源相关工作；2.公司提供充分的轮岗机会&amp;培训资源，让各位管理培训生尽快学习、了解、熟悉、掌握人力资源各职能模块的工作内容；3.给予的人力资源项目任务，需配合完成实施跟进；4.经过一定时期的轮岗后，将定向培养长期发展方向。任职要求1.本科及以上学历，英文听说读写能力好者优先；2.有清晰的职业规划和职业发展目标，对于从事人力资源工作有饱满的热情；3.优秀的沟通能力，逻辑分析能力及解决问题能力；4.数据处理能力强，有很强的自我驱动力，有创新思维及判断力；5.能熟练运用Office等办公软件，轮岗&amp;定岗地点服从公司分配。</v>
      </c>
      <c r="N264" s="7">
        <f t="shared" si="28"/>
        <v>0</v>
      </c>
      <c r="O264" s="7">
        <f t="shared" si="29"/>
        <v>0</v>
      </c>
    </row>
    <row r="265" spans="1:15">
      <c r="A265" s="7">
        <f t="shared" si="24"/>
        <v>8</v>
      </c>
      <c r="B265" s="7" t="s">
        <v>614</v>
      </c>
      <c r="C265" s="8" t="s">
        <v>615</v>
      </c>
      <c r="D265" s="7" t="s">
        <v>894</v>
      </c>
      <c r="E265" s="7">
        <v>5</v>
      </c>
      <c r="F265" s="7" t="s">
        <v>192</v>
      </c>
      <c r="G265" s="8" t="s">
        <v>895</v>
      </c>
      <c r="H265" s="7" t="s">
        <v>896</v>
      </c>
      <c r="I265" s="7" t="str">
        <f t="shared" si="27"/>
        <v>电机工艺工程师（校招）（学历：本科 专业要求：无）</v>
      </c>
      <c r="J265" s="7">
        <f t="shared" si="25"/>
        <v>283</v>
      </c>
      <c r="K265" s="7">
        <f>_xlfn.XLOOKUP(A265,长度要求!A:A,长度要求!E:E)</f>
        <v>500</v>
      </c>
      <c r="L265" s="7" t="str">
        <f t="shared" si="26"/>
        <v>1、负责电机工艺技术的相关工作，对设计图样进行工艺会签；2、确定工艺路线，编制相应的工艺文件，并对工装图纸进行会签；3、对新产品加工进行技术交底，并提供相应技术支持，解决新老产品加工过程中相关制造问题。任职要求专业要求：电气类（电气工程及其自动化/电机与电器）机械类（机械工程及其自动化）材料类（金属材料/材料成型及控制工程）热动类（低温制冷/通风冷却/流体机械）1、学历本科及以上；2、本科英语CET-4；研究生英语CET-6；口语良好；3、熟练操作计算机；4、有较强的承受压力的能力；较高的学习能力和适应能力；富有团队精神，有责任感；5、有学生干部工作经验优先。</v>
      </c>
      <c r="N265" s="7">
        <f t="shared" si="28"/>
        <v>0</v>
      </c>
      <c r="O265" s="7">
        <f t="shared" si="29"/>
        <v>0</v>
      </c>
    </row>
    <row r="266" spans="1:15">
      <c r="A266" s="7">
        <f t="shared" si="24"/>
        <v>6</v>
      </c>
      <c r="B266" s="7" t="s">
        <v>749</v>
      </c>
      <c r="C266" s="8" t="s">
        <v>750</v>
      </c>
      <c r="D266" s="7" t="s">
        <v>805</v>
      </c>
      <c r="E266" s="7">
        <v>50</v>
      </c>
      <c r="F266" s="7" t="s">
        <v>18</v>
      </c>
      <c r="G266" s="8" t="s">
        <v>897</v>
      </c>
      <c r="H266" s="7" t="s">
        <v>29</v>
      </c>
      <c r="I266" s="7" t="str">
        <f t="shared" si="27"/>
        <v>新媒体运营实习生（学历：大专 专业要求：无）</v>
      </c>
      <c r="J266" s="7">
        <f t="shared" si="25"/>
        <v>251</v>
      </c>
      <c r="K266" s="7">
        <f>_xlfn.XLOOKUP(A266,长度要求!A:A,长度要求!E:E)</f>
        <v>500</v>
      </c>
      <c r="L266" s="7" t="str">
        <f t="shared" si="26"/>
        <v>工作职责：1、负责公司直播平台的出镜直播，内容策划，活跃直播气氛;2、负责在直播间与粉丝互动，增加粉丝的粘性以及粉丝量等;3、维护直播间秩序，活跃氛围直播期间思路清晰，快速反应解答粉丝的疑问并引导留资；4、负责公司新媒体账号的内容产出和运营。任职要求：1、有抖音、小红书拍摄直播经验优先;会拍摄、会剪辑视频优先；2、普通话标准，肢体语言丰富，喜爱穿搭，有一定审美能力;3、思维敏捷，具有较强的语言表达能力和现场把控应变能力，善于调动气氛，与粉丝互动;4、性格外向活泼，形象好气质佳，大胆自信，镜头感强。</v>
      </c>
      <c r="N266" s="7">
        <f t="shared" si="28"/>
        <v>0</v>
      </c>
      <c r="O266" s="7">
        <f t="shared" si="29"/>
        <v>0</v>
      </c>
    </row>
    <row r="267" spans="1:15">
      <c r="A267" s="7">
        <f t="shared" si="24"/>
        <v>6</v>
      </c>
      <c r="B267" s="7" t="s">
        <v>749</v>
      </c>
      <c r="C267" s="8" t="s">
        <v>750</v>
      </c>
      <c r="D267" s="7" t="s">
        <v>898</v>
      </c>
      <c r="E267" s="7">
        <v>30</v>
      </c>
      <c r="F267" s="7" t="s">
        <v>18</v>
      </c>
      <c r="G267" s="8" t="s">
        <v>899</v>
      </c>
      <c r="H267" s="7" t="s">
        <v>29</v>
      </c>
      <c r="I267" s="7" t="str">
        <f t="shared" si="27"/>
        <v>汽车销售实习生（学历：大专 专业要求：无）</v>
      </c>
      <c r="J267" s="7">
        <f t="shared" si="25"/>
        <v>365</v>
      </c>
      <c r="K267" s="7">
        <f>_xlfn.XLOOKUP(A267,长度要求!A:A,长度要求!E:E)</f>
        <v>500</v>
      </c>
      <c r="L267" s="7" t="str">
        <f t="shared" si="26"/>
        <v>岗位职责：1、热情的接待进店客人，为客户介绍互联网汽车的优势并鼓励客户试驾，保证最佳的客户体验；2、建立良好的客户关系，协助销售主管举办试驾活动，并通过提供极致的客户体验使潜在客户向亲朋好友宣传小鹏汽车；3、带领客户试驾小鹏汽车，保证客户有极致的试驾体验；4、对现有小鹏汽车车主提供高质量客户服务；5、及时了解更新行业发展资讯；6、负责收集合格的潜在客户，推动销售以完成门店的销售目标；7、其他职责：根据业务发展需要，完成管理层指定的其他工作；8、工作地：上海。招聘要求：1、出色的人际沟通和客户服务能力，时刻保持充沛的精力；2、能够深刻理解并传递业务问题和技术概念；3、拥有优秀的团队意识，成为可靠的团队成员；4、接受晚上和周末工作，有零售、以及VIP客户销售经验优先；5、持有有效中国驾照，毕业前驾龄满一年，开车技术较为熟练。</v>
      </c>
      <c r="N267" s="7">
        <f t="shared" si="28"/>
        <v>0</v>
      </c>
      <c r="O267" s="7">
        <f t="shared" si="29"/>
        <v>0</v>
      </c>
    </row>
    <row r="268" spans="1:15">
      <c r="A268" s="7">
        <f t="shared" si="24"/>
        <v>4</v>
      </c>
      <c r="B268" s="7" t="s">
        <v>58</v>
      </c>
      <c r="C268" s="8" t="s">
        <v>59</v>
      </c>
      <c r="D268" s="7" t="s">
        <v>900</v>
      </c>
      <c r="E268" s="7">
        <v>10</v>
      </c>
      <c r="F268" s="7" t="s">
        <v>192</v>
      </c>
      <c r="G268" s="8" t="s">
        <v>901</v>
      </c>
      <c r="H268" s="7" t="s">
        <v>274</v>
      </c>
      <c r="I268" s="7" t="str">
        <f t="shared" si="27"/>
        <v>大学生营销储备干部 （学历：本科 专业要求：无）</v>
      </c>
      <c r="J268" s="7">
        <f t="shared" si="25"/>
        <v>704</v>
      </c>
      <c r="K268" s="7">
        <f>_xlfn.XLOOKUP(A268,长度要求!A:A,长度要求!E:E)</f>
        <v>500</v>
      </c>
      <c r="L268" s="7" t="str">
        <f t="shared" si="26"/>
        <v>【公司简介】珍岛集团成立于2009年，聚焦企业数字化智能化，打造了全球领先的智能营销云平台Marketingforce.com，也是国内最大的营销及销售SaaS解决方案提供商。基于大数据、人工智能、云计算技术，现已形成IaaS（云计算）、PaaS(开放中台)、All-in-oneAISaaS等一站式智能营销云平台。总部位于上海市静安区大数据产业基地，第二总部位于武汉光谷，云计算机房设立于无锡基地，30+分支机构覆盖江苏、浙江、广东等省份。珍岛集团现有员工约4000人，累计申请软件著作权400余项，相关专利40余项。【营销储备干部】★岗位职责1.通过电话、陌生拜访、新媒体等渠道寻找潜在客户，邀约并拜访客户；2.与客户面谈，现场提供专业的产品演示和解决方案，完成销售；3.对老客户进行定期维护，及时了解客户需求售卖的是珍岛的明星产品“T-云”★岗位要求1.专业、性别不限；2.有无经验皆可（90%的伙伴都没有互联网行业经验，我们有完善的培训给你信心）；3.喜欢销售，能抗压抗挫，表达沟通能力强，有理想有抱负。★薪资待遇一线城市：上海保障薪资8000元，广州、深圳保障薪资7500元（含9%-29%……</v>
      </c>
      <c r="N268" s="7">
        <f t="shared" si="28"/>
        <v>0</v>
      </c>
      <c r="O268" s="7">
        <f t="shared" si="29"/>
        <v>0</v>
      </c>
    </row>
    <row r="269" spans="1:15">
      <c r="A269" s="7">
        <f t="shared" si="24"/>
        <v>4</v>
      </c>
      <c r="B269" s="7" t="s">
        <v>58</v>
      </c>
      <c r="C269" s="8" t="s">
        <v>59</v>
      </c>
      <c r="D269" s="7" t="s">
        <v>902</v>
      </c>
      <c r="E269" s="7">
        <v>20</v>
      </c>
      <c r="F269" s="7" t="s">
        <v>192</v>
      </c>
      <c r="G269" s="8" t="s">
        <v>903</v>
      </c>
      <c r="H269" s="7" t="s">
        <v>731</v>
      </c>
      <c r="I269" s="7" t="str">
        <f t="shared" si="27"/>
        <v>HD智能营销顾问（学历：本科 专业要求：经济与金融,国际经济与贸易,英语,计算机科学与技术,大数据管理与应用,工程造价,信息管理与信息系统,市场营销教育,行政管理,电子商务）</v>
      </c>
      <c r="J269" s="7">
        <f t="shared" si="25"/>
        <v>819</v>
      </c>
      <c r="K269" s="7">
        <f>_xlfn.XLOOKUP(A269,长度要求!A:A,长度要求!E:E)</f>
        <v>500</v>
      </c>
      <c r="L269" s="7" t="str">
        <f t="shared" si="26"/>
        <v>工作内容：1、通过电话、陌生拜访、新媒体等渠道寻找潜在客户，邀约并拜访客户；2、与客户面谈，现场提供专业的产品演示和解决方案，完成销售（当你还不能独立面谈的时候，经理会手把手带着你并演示给你看如何和客户面谈）；3、对老客户进行定期维护，及时了解客户需求，把握客户心理，实现销售机会到销售产能的最大转化。岗位要求：4、全日制本科及以上学历，专业不限；5、对互联网行业有浓厚兴趣且考虑在营销领域发展；6、有较强的学习能力、沟通能力和适应能力；喜欢做与人打交道的工作薪资：上海：实习保障薪资8000元/月+提成9%-29%深圳、广州：实习保障薪资7500元/月+提成9%-29%杭州、苏州、宁波、南京：实习保障工资6000元/月+提成9%-29%无锡、武汉：实习保障保障工资5500元/月+提成9%-29%东莞、佛山、温州、台州、绍兴、金华、义务、成都、南通、常州：实习保障保障工资5000元/月+提成9%-29%惠州、中山、顺德、扬州：实习保障保障工资4500元/月+提成9%-29%1、以上工资为实习工资(即未拿到毕业证)；2、如已经拿到毕业证，保障薪资会在此薪资基础上高500~1000元/月。上海、……</v>
      </c>
      <c r="M269" s="7" t="s">
        <v>904</v>
      </c>
      <c r="N269" s="7">
        <f t="shared" si="28"/>
        <v>66</v>
      </c>
      <c r="O269" s="7">
        <f t="shared" si="29"/>
        <v>10</v>
      </c>
    </row>
    <row r="270" spans="1:15">
      <c r="A270" s="7">
        <f t="shared" si="24"/>
        <v>4</v>
      </c>
      <c r="B270" s="7" t="s">
        <v>720</v>
      </c>
      <c r="C270" s="8" t="s">
        <v>721</v>
      </c>
      <c r="D270" s="7" t="s">
        <v>905</v>
      </c>
      <c r="E270" s="7">
        <v>10</v>
      </c>
      <c r="F270" s="7" t="s">
        <v>192</v>
      </c>
      <c r="G270" s="8" t="s">
        <v>906</v>
      </c>
      <c r="H270" s="7" t="s">
        <v>724</v>
      </c>
      <c r="I270" s="7" t="str">
        <f t="shared" si="27"/>
        <v>空间运营实习生（学历：本科 专业要求：无）</v>
      </c>
      <c r="J270" s="7">
        <f t="shared" si="25"/>
        <v>338</v>
      </c>
      <c r="K270" s="7">
        <f>_xlfn.XLOOKUP(A270,长度要求!A:A,长度要求!E:E)</f>
        <v>500</v>
      </c>
      <c r="L270" s="7" t="str">
        <f t="shared" si="26"/>
        <v>职位描述：-日常门店运营：支持完成门店日常运营，包括用户接待服务、咖啡特饮制作、儿童托管陪伴、活动现场执行等等；-用户关系维护：负责用户关系建立和维护，与用户建立长期稳定的伙伴关系，不断提升客户对蔚来的忠诚度；-围绕NIOHouse的愿景与使命，负责以NIOHouse为载体的线下社区活动运营，为用户创造愉悦的生活方式；-配合总部的规划，协调区域公司资源，围绕节日、公司事件节点等，规划并制定NIOHouse全年活动主题。职位要求：-希望是大二/大三/研一/研二的在校同学，能保证每周至少3-4天，持续3个月及以上的稳定出勤时间；-保持精力充沛，在非常活跃的环境中提供出色的用户体验；-有一定的活动策划经验及规划执行能力，能够支持沙龙活动。该岗位仅向24/25届毕业学生开放。</v>
      </c>
      <c r="N270" s="7">
        <f t="shared" si="28"/>
        <v>0</v>
      </c>
      <c r="O270" s="7">
        <f t="shared" si="29"/>
        <v>0</v>
      </c>
    </row>
    <row r="271" spans="1:15">
      <c r="A271" s="7">
        <f t="shared" si="24"/>
        <v>4</v>
      </c>
      <c r="B271" s="7" t="s">
        <v>194</v>
      </c>
      <c r="C271" s="8" t="s">
        <v>195</v>
      </c>
      <c r="D271" s="7" t="s">
        <v>907</v>
      </c>
      <c r="E271" s="7">
        <v>10</v>
      </c>
      <c r="F271" s="7" t="s">
        <v>18</v>
      </c>
      <c r="G271" s="8" t="s">
        <v>908</v>
      </c>
      <c r="H271" s="7" t="s">
        <v>544</v>
      </c>
      <c r="I271" s="7" t="str">
        <f t="shared" si="27"/>
        <v>销售顾问（学历：大专 专业要求：无）</v>
      </c>
      <c r="J271" s="7">
        <f t="shared" si="25"/>
        <v>217</v>
      </c>
      <c r="K271" s="7">
        <f>_xlfn.XLOOKUP(A271,长度要求!A:A,长度要求!E:E)</f>
        <v>500</v>
      </c>
      <c r="L271" s="7" t="str">
        <f t="shared" si="26"/>
        <v>岗位职责：1、负责整车销售服务和进店客户咨询服务；2、负责整车各车型的销售资料及客户档案；3、负责挖掘客户需求，实现产品销售；4、负责售前业务跟进及售后客户维系工作。上班时间：早班8:30-18:30晚班12：00-21:30，欢迎没有销售经验的新手来挑战。任职要求：1.高中或中专（含）以上学历。年龄18岁-35岁，五官端正，气质良好。2.有服务意识，诚信，积极有团队合作精神，能吃苦耐劳。3.对汽车行业感兴趣，具有一定的销售技巧。</v>
      </c>
      <c r="N271" s="7">
        <f t="shared" si="28"/>
        <v>0</v>
      </c>
      <c r="O271" s="7">
        <f t="shared" si="29"/>
        <v>0</v>
      </c>
    </row>
    <row r="272" spans="1:15">
      <c r="A272" s="7">
        <f t="shared" si="24"/>
        <v>1</v>
      </c>
      <c r="B272" s="7" t="s">
        <v>909</v>
      </c>
      <c r="C272" s="8" t="s">
        <v>910</v>
      </c>
      <c r="D272" s="7" t="s">
        <v>911</v>
      </c>
      <c r="E272" s="7">
        <v>3</v>
      </c>
      <c r="F272" s="7" t="s">
        <v>18</v>
      </c>
      <c r="G272" s="8" t="s">
        <v>912</v>
      </c>
      <c r="H272" s="7" t="s">
        <v>97</v>
      </c>
      <c r="I272" s="7" t="str">
        <f t="shared" si="27"/>
        <v>迪士尼园艺部实习生（学历：大专 专业要求：无）</v>
      </c>
      <c r="J272" s="7">
        <f t="shared" si="25"/>
        <v>344</v>
      </c>
      <c r="K272" s="7">
        <f>_xlfn.XLOOKUP(A272,长度要求!A:A,长度要求!E:E)</f>
        <v>500</v>
      </c>
      <c r="L272" s="7" t="str">
        <f t="shared" si="26"/>
        <v>职位描述园丁应具备合理科学的园林养护的基础知识，同时要了解不同种类观赏植物及其养护方法。在上海迪士尼度假乐园，园丁将会与资深园丁以及维护工一起工作，共同对乐园内植被及景观进行养护。园丁应听从资深园丁和园艺经理的命令和指示，并应具备园艺养护的实际经验，习惯与其他同事合同协作。工作职责(包括但不局限)•与资深园丁及其他初级园丁进行常规园林及景观养护工作•熟悉常规的树木修剪、剪切、割灌等日常工作，可操作不同类型的园林工具和设备，如绿篱机，割灌机，电锯等，熟练使用这些工具设备是景观养护的基本需求•及时检查，更换特定种植区域已死植被或者长势不理想的植被•会操作一些园林机械设备，如高架平台、驱动车辆和高尔夫球车等•能根据观察植物生长及土壤状况，做到及时灌溉补水•积极完成领导安排的其他各项工作</v>
      </c>
      <c r="N272" s="7">
        <f t="shared" si="28"/>
        <v>0</v>
      </c>
      <c r="O272" s="7">
        <f t="shared" si="29"/>
        <v>0</v>
      </c>
    </row>
    <row r="273" spans="1:15">
      <c r="A273" s="7">
        <f t="shared" si="24"/>
        <v>8</v>
      </c>
      <c r="B273" s="7" t="s">
        <v>450</v>
      </c>
      <c r="C273" s="8" t="s">
        <v>451</v>
      </c>
      <c r="D273" s="7" t="s">
        <v>913</v>
      </c>
      <c r="E273" s="7">
        <v>5</v>
      </c>
      <c r="F273" s="7" t="s">
        <v>641</v>
      </c>
      <c r="G273" s="8" t="s">
        <v>914</v>
      </c>
      <c r="H273" s="7" t="s">
        <v>915</v>
      </c>
      <c r="I273" s="7" t="str">
        <f t="shared" si="27"/>
        <v>机电总体设计师（学历：博士 专业要求：无）</v>
      </c>
      <c r="J273" s="7">
        <f t="shared" si="25"/>
        <v>134</v>
      </c>
      <c r="K273" s="7">
        <f>_xlfn.XLOOKUP(A273,长度要求!A:A,长度要求!E:E)</f>
        <v>500</v>
      </c>
      <c r="L273" s="7" t="str">
        <f t="shared" si="26"/>
        <v>岗位职责：1、负责机电装备的总体设计2、负责开展相关专业领域科研项目研究任职资格：1、机械电子工程、电气工程等相关专业；2、具有机电类项目工程经验，或者担任重大专项负责人，研究方向为重大装备系统或者非标机器人系统控制者优先。3、具有独立负责开展新产品/项目开发的能力。</v>
      </c>
      <c r="N273" s="7">
        <f t="shared" si="28"/>
        <v>0</v>
      </c>
      <c r="O273" s="7">
        <f t="shared" si="29"/>
        <v>0</v>
      </c>
    </row>
    <row r="274" spans="1:15">
      <c r="A274" s="7">
        <f t="shared" si="24"/>
        <v>4</v>
      </c>
      <c r="B274" s="7" t="s">
        <v>312</v>
      </c>
      <c r="C274" s="8" t="s">
        <v>313</v>
      </c>
      <c r="D274" s="7" t="s">
        <v>916</v>
      </c>
      <c r="E274" s="7">
        <v>2</v>
      </c>
      <c r="F274" s="7" t="s">
        <v>425</v>
      </c>
      <c r="G274" s="8" t="s">
        <v>917</v>
      </c>
      <c r="H274" s="7" t="s">
        <v>918</v>
      </c>
      <c r="I274" s="7" t="str">
        <f t="shared" si="27"/>
        <v>复合机器人一体化规划控制开发工程师（学历：硕士 专业要求：无）</v>
      </c>
      <c r="J274" s="7">
        <f t="shared" si="25"/>
        <v>283</v>
      </c>
      <c r="K274" s="7">
        <f>_xlfn.XLOOKUP(A274,长度要求!A:A,长度要求!E:E)</f>
        <v>500</v>
      </c>
      <c r="L274" s="7" t="str">
        <f t="shared" si="26"/>
        <v>岗位职责：1、负责为复合机器人（移动底盘+机械臂）设计一体化控制算法，联合解算和控制底盘与机械臂，扩展作业空间任职资格：1、硕士以上学历，计算机科学,自动化，机械设计或相关专业2、精通c/c++开发,熟悉linux系统会python加分3、对机器人动力学，运动学，正反解等知识有深入理解，熟悉LQRMPC等相关自动控制算法4、有机械臂或轮足式，足式等复杂机器人控制相关经验者优先5、了解ROS,有机器人开发,科研或比赛经历优先.比赛如RobotMaster,RoboCup,ACM等6、无障碍英文资料阅读与沟通能力优先，能够快速查阅英文资料解决问题，快速阅读英文文档</v>
      </c>
      <c r="N274" s="7">
        <f t="shared" si="28"/>
        <v>0</v>
      </c>
      <c r="O274" s="7">
        <f t="shared" si="29"/>
        <v>0</v>
      </c>
    </row>
    <row r="275" spans="1:15">
      <c r="A275" s="7">
        <f t="shared" si="24"/>
        <v>5</v>
      </c>
      <c r="B275" s="7" t="s">
        <v>598</v>
      </c>
      <c r="C275" s="8" t="s">
        <v>599</v>
      </c>
      <c r="D275" s="7" t="s">
        <v>919</v>
      </c>
      <c r="E275" s="7">
        <v>2</v>
      </c>
      <c r="F275" s="7" t="s">
        <v>192</v>
      </c>
      <c r="G275" s="8" t="s">
        <v>920</v>
      </c>
      <c r="H275" s="7" t="s">
        <v>62</v>
      </c>
      <c r="I275" s="7" t="str">
        <f t="shared" si="27"/>
        <v>QC（学历：本科 专业要求：无）</v>
      </c>
      <c r="J275" s="7">
        <f t="shared" si="25"/>
        <v>419</v>
      </c>
      <c r="K275" s="7">
        <f>_xlfn.XLOOKUP(A275,长度要求!A:A,长度要求!E:E)</f>
        <v>500</v>
      </c>
      <c r="L275" s="7" t="str">
        <f t="shared" si="26"/>
        <v>职位描述：1.从事并掌握蛋白药物生物化学检测相关实验研究；2.具有SDS-PAGE，HPLC，酶标仪，PCR，流式等分析仪器设备操作经验及检测方法开发的经验；3.熟悉药物研发要求及法规，能够独立撰写相关实验的SOP和方法开发报告等文件；4.具有分析解决问题的能力，能够带领组内成员的实验安排，日常管理工作，确保项目在时间内、预算内完成；5.负责对生物分析实验数据进行审阅并汇总；6.负责对实验室检测设备的维护保养和校验。岗位要求:1.制药工程，分析化学，分子生物学，细胞生物学或药学专业的本科或以上学历，或专科相关专业优秀毕业生，具有1~3年以上相关工作经验者优先；2.有生物制药工作背景和GMP实验室工作经验者优先；熟悉ICH、GMP及FDA相关指导原则或质量管理体系；3.有较好的英语读写能力，能够阅读与本职工作相关的英文信息/资料；4.工作认真负责，态度积极主动，勤奋好学，善于思考，责任心强；5.具有良好的沟通协调和团队奉献精神。</v>
      </c>
      <c r="N275" s="7">
        <f t="shared" si="28"/>
        <v>0</v>
      </c>
      <c r="O275" s="7">
        <f t="shared" si="29"/>
        <v>0</v>
      </c>
    </row>
    <row r="276" spans="1:15">
      <c r="A276" s="7">
        <f t="shared" si="24"/>
        <v>8</v>
      </c>
      <c r="B276" s="7" t="s">
        <v>717</v>
      </c>
      <c r="C276" s="8" t="s">
        <v>718</v>
      </c>
      <c r="D276" s="7" t="s">
        <v>921</v>
      </c>
      <c r="E276" s="7">
        <v>1</v>
      </c>
      <c r="F276" s="7" t="s">
        <v>425</v>
      </c>
      <c r="G276" s="8" t="s">
        <v>922</v>
      </c>
      <c r="H276" s="7" t="s">
        <v>454</v>
      </c>
      <c r="I276" s="7" t="str">
        <f t="shared" si="27"/>
        <v>国际工程（学历：硕士 专业要求：无）</v>
      </c>
      <c r="J276" s="7">
        <f t="shared" si="25"/>
        <v>270</v>
      </c>
      <c r="K276" s="7">
        <f>_xlfn.XLOOKUP(A276,长度要求!A:A,长度要求!E:E)</f>
        <v>500</v>
      </c>
      <c r="L276" s="7" t="str">
        <f t="shared" si="26"/>
        <v>岗位职责:1.负责与国际展会主办方沟通，熟悉图纸报审等相关流程；2.供应商拓展：把握供应商关系，控制成本，较强的预算及成本意识和管控能力；3.项目跟单及客户沟通：海外项目的时时跟进，及时处理项目进程中突发问题，保证海外项目圆满落地，效果图完整呈现。4.为国际项目寻找海外合作伙伴等；任职要求:1、英语口语流利，可用于工作；2、熟知搭建、展项工艺流程及材质，一年以上国际工程跟单工作经验优先考虑，负责过欧洲版块会优先考虑；3、善于沟通，处事儿冷静，善于处理突发事件；4、本岗位必要时需要国外短暂出差；5、本岗位可招聘外籍人需会基本的中文沟通。</v>
      </c>
      <c r="N276" s="7">
        <f t="shared" si="28"/>
        <v>0</v>
      </c>
      <c r="O276" s="7">
        <f t="shared" si="29"/>
        <v>0</v>
      </c>
    </row>
    <row r="277" spans="1:15">
      <c r="A277" s="7">
        <f t="shared" si="24"/>
        <v>4</v>
      </c>
      <c r="B277" s="7" t="s">
        <v>312</v>
      </c>
      <c r="C277" s="8" t="s">
        <v>313</v>
      </c>
      <c r="D277" s="7" t="s">
        <v>923</v>
      </c>
      <c r="E277" s="7">
        <v>10</v>
      </c>
      <c r="F277" s="7" t="s">
        <v>18</v>
      </c>
      <c r="G277" s="8" t="s">
        <v>924</v>
      </c>
      <c r="H277" s="7" t="s">
        <v>274</v>
      </c>
      <c r="I277" s="7" t="str">
        <f t="shared" si="27"/>
        <v>机器人调试工程师（学历：大专 专业要求：无）</v>
      </c>
      <c r="J277" s="7">
        <f t="shared" si="25"/>
        <v>377</v>
      </c>
      <c r="K277" s="7">
        <f>_xlfn.XLOOKUP(A277,长度要求!A:A,长度要求!E:E)</f>
        <v>500</v>
      </c>
      <c r="L277" s="7" t="str">
        <f t="shared" si="26"/>
        <v>岗位职责：1、负责现场工业、服务机器人系统的安装集成、编程调试，优化节拍，使其能满足客户的批量生产要求；2、负责调整周边自动化系统以使整个机器人系统能顺利运行；3、机器人轨迹、精度以及节拍达到技术协议要求；4、编写项目操作说明书，以及维护说明书；5、配合机械工程师完成项目设计；前期项目设计的参与、项目生产制作的跟进参与、后期项目安装实施的操作；6、完成机器人售后维护及服务工作。任职要求：1、机电一体化、机械工程、自动控制、测控技术、电气等相关专业大专以上学历；2、熟悉plc编程和实际应用；3、具有3年及以上工作经验；4、了解各类常见的工业总线,对标准自动化设备有一定了解；5、了解市场上常用的机器人品牌，如ABB.Fanuc.KUKA.Motoman,有过机器人操作经验者优先；6、身体素质佳，能够吃苦耐劳，勤奋踏实，积极向上，并能适应加班及出差；</v>
      </c>
      <c r="N277" s="7">
        <f t="shared" si="28"/>
        <v>0</v>
      </c>
      <c r="O277" s="7">
        <f t="shared" si="29"/>
        <v>0</v>
      </c>
    </row>
    <row r="278" spans="1:15">
      <c r="A278" s="7">
        <f t="shared" si="24"/>
        <v>3</v>
      </c>
      <c r="B278" s="7" t="s">
        <v>925</v>
      </c>
      <c r="C278" s="8" t="s">
        <v>926</v>
      </c>
      <c r="D278" s="7" t="s">
        <v>678</v>
      </c>
      <c r="E278" s="7">
        <v>1</v>
      </c>
      <c r="F278" s="7" t="s">
        <v>27</v>
      </c>
      <c r="G278" s="8" t="s">
        <v>927</v>
      </c>
      <c r="H278" s="7" t="s">
        <v>97</v>
      </c>
      <c r="I278" s="7" t="str">
        <f t="shared" si="27"/>
        <v>行政前台（学历：初中及以下 专业要求：无）</v>
      </c>
      <c r="J278" s="7">
        <f t="shared" si="25"/>
        <v>141</v>
      </c>
      <c r="K278" s="7">
        <f>_xlfn.XLOOKUP(A278,长度要求!A:A,长度要求!E:E)</f>
        <v>500</v>
      </c>
      <c r="L278" s="7" t="str">
        <f t="shared" si="26"/>
        <v>1、负责来访人员接待、登记、指引。2、面试人员登记、指引填写应征资料表、带着面试、反应面试结果;3、帮助公司行政管理，包括职场管理、设备管理、办公用品购置、活动组织、保障日常办公须要;4、帮助公司人事管理，包括聘请模块的根底性工作、办理员工入职、离职手续等;5、公司交办的其他事项。</v>
      </c>
      <c r="N278" s="7">
        <f t="shared" si="28"/>
        <v>0</v>
      </c>
      <c r="O278" s="7">
        <f t="shared" si="29"/>
        <v>0</v>
      </c>
    </row>
    <row r="279" spans="1:15">
      <c r="A279" s="7">
        <f t="shared" si="24"/>
        <v>3</v>
      </c>
      <c r="B279" s="7" t="s">
        <v>925</v>
      </c>
      <c r="C279" s="8" t="s">
        <v>926</v>
      </c>
      <c r="D279" s="7" t="s">
        <v>928</v>
      </c>
      <c r="E279" s="7">
        <v>6</v>
      </c>
      <c r="F279" s="7" t="s">
        <v>27</v>
      </c>
      <c r="G279" s="8" t="s">
        <v>929</v>
      </c>
      <c r="H279" s="7" t="s">
        <v>20</v>
      </c>
      <c r="I279" s="7" t="str">
        <f t="shared" si="27"/>
        <v>销售接待（学历：初中及以下 专业要求：无）</v>
      </c>
      <c r="J279" s="7">
        <f t="shared" si="25"/>
        <v>301</v>
      </c>
      <c r="K279" s="7">
        <f>_xlfn.XLOOKUP(A279,长度要求!A:A,长度要求!E:E)</f>
        <v>500</v>
      </c>
      <c r="L279" s="7" t="str">
        <f t="shared" si="26"/>
        <v>1、前期:主要与客人进行充分沟通,了解并充分挖掘客户需求,签订意向合同2、筹备:根据客户需求,为客户量身定制拍摄方案,撰写拍摄方案;帮助达人筹备流程、人员安排等筹备工作;帮助达人确定现场布置方案。3、中期:协调驻地执行团队,确保项目按计划有序进行;及时处理项目进行中突发情况。4、后期:执行后与达人沟通满意度等,维护客户关系.任职要求:1、沟通理解能力强,能准确把握达人需求;具有较强的文案写作能力,出色的文字组织能力,写作经验丰富,有丰富的提案经验;有策划案例2、思维逻辑较强,能合理统筹安排人员和物资;3、有良好的应变能力和执行力;4、有高度的敬业精神、工作态度积极主动、乐观;5、有较强的学习能力</v>
      </c>
      <c r="N279" s="7">
        <f t="shared" si="28"/>
        <v>0</v>
      </c>
      <c r="O279" s="7">
        <f t="shared" si="29"/>
        <v>0</v>
      </c>
    </row>
    <row r="280" spans="1:15">
      <c r="A280" s="7">
        <f t="shared" si="24"/>
        <v>3</v>
      </c>
      <c r="B280" s="7" t="s">
        <v>925</v>
      </c>
      <c r="C280" s="8" t="s">
        <v>926</v>
      </c>
      <c r="D280" s="7" t="s">
        <v>43</v>
      </c>
      <c r="E280" s="7">
        <v>3</v>
      </c>
      <c r="F280" s="7" t="s">
        <v>27</v>
      </c>
      <c r="G280" s="8" t="s">
        <v>930</v>
      </c>
      <c r="H280" s="7" t="s">
        <v>113</v>
      </c>
      <c r="I280" s="7" t="str">
        <f t="shared" si="27"/>
        <v>新媒体运营（学历：初中及以下 专业要求：无）</v>
      </c>
      <c r="J280" s="7">
        <f t="shared" si="25"/>
        <v>191</v>
      </c>
      <c r="K280" s="7">
        <f>_xlfn.XLOOKUP(A280,长度要求!A:A,长度要求!E:E)</f>
        <v>500</v>
      </c>
      <c r="L280" s="7" t="str">
        <f t="shared" si="26"/>
        <v>工作内容：1、协助主播进行直播，调动直播间气氛且能适时助播；2、配合直播运营制作直播规划及脚本撰写；3、跟进直播互动、维护主播与粉丝关系，解答粉丝问题；4、直播间现场设备调试，对直播呈现效果负责；5、协助公司完成其他相关工作的安排。任职要求：1、样貌端正，形象气质佳，声线较好；2、普通话标准，具有良好的口头表达能力；3、性格活泼，镜头感强，喜欢与人互动交流；4、有直播经验为加分项</v>
      </c>
      <c r="N280" s="7">
        <f t="shared" si="28"/>
        <v>0</v>
      </c>
      <c r="O280" s="7">
        <f t="shared" si="29"/>
        <v>0</v>
      </c>
    </row>
    <row r="281" spans="1:15">
      <c r="A281" s="7">
        <f t="shared" si="24"/>
        <v>3</v>
      </c>
      <c r="B281" s="7" t="s">
        <v>811</v>
      </c>
      <c r="C281" s="8" t="s">
        <v>812</v>
      </c>
      <c r="D281" s="7" t="s">
        <v>931</v>
      </c>
      <c r="E281" s="7">
        <v>6</v>
      </c>
      <c r="F281" s="7" t="s">
        <v>18</v>
      </c>
      <c r="G281" s="8" t="s">
        <v>932</v>
      </c>
      <c r="H281" s="7" t="s">
        <v>290</v>
      </c>
      <c r="I281" s="7" t="str">
        <f t="shared" si="27"/>
        <v>商务助理实习生（学历：大专 专业要求：无）</v>
      </c>
      <c r="J281" s="7">
        <f t="shared" si="25"/>
        <v>225</v>
      </c>
      <c r="K281" s="7">
        <f>_xlfn.XLOOKUP(A281,长度要求!A:A,长度要求!E:E)</f>
        <v>500</v>
      </c>
      <c r="L281" s="7" t="str">
        <f t="shared" si="26"/>
        <v>l协助商务经理处理日常询价和舱位审批；l实时收集和反馈市场行情、舱位状况和箱源动态；l及时向销售部门推荐优势运价和船公司优惠活动；l完成日常运价数据录入，维护公司销售系统基础数据库；l参与商务洽谈，完成商务经理安排的其他工作。岗位要求1）物流、外贸、英语、法语、商务管理等相关专业的应届毕业生，形象气质佳；2）大专以上学历，英语四级以上，口语良好，书面能力强，懂法语的优先考虑；3）工作踏实勤恳、态度端正；处事灵活，思维敏捷；4）善于沟通、喜欢交际。</v>
      </c>
      <c r="N281" s="7">
        <f t="shared" si="28"/>
        <v>0</v>
      </c>
      <c r="O281" s="7">
        <f t="shared" si="29"/>
        <v>0</v>
      </c>
    </row>
    <row r="282" spans="1:15">
      <c r="A282" s="7">
        <f t="shared" si="24"/>
        <v>6</v>
      </c>
      <c r="B282" s="7" t="s">
        <v>78</v>
      </c>
      <c r="C282" s="8" t="s">
        <v>79</v>
      </c>
      <c r="D282" s="7" t="s">
        <v>933</v>
      </c>
      <c r="E282" s="7">
        <v>6</v>
      </c>
      <c r="F282" s="7" t="s">
        <v>18</v>
      </c>
      <c r="G282" s="8" t="s">
        <v>934</v>
      </c>
      <c r="H282" s="7" t="s">
        <v>82</v>
      </c>
      <c r="I282" s="7" t="str">
        <f t="shared" si="27"/>
        <v>游戏2D原画设计师（学历：大专 专业要求：无）</v>
      </c>
      <c r="J282" s="7">
        <f t="shared" si="25"/>
        <v>291</v>
      </c>
      <c r="K282" s="7">
        <f>_xlfn.XLOOKUP(A282,长度要求!A:A,长度要求!E:E)</f>
        <v>500</v>
      </c>
      <c r="L282" s="7" t="str">
        <f t="shared" si="26"/>
        <v>1、有扎实的美术基础，能把控画面整体氛围,造型能力强、色感优越，有较强的风格适应能力和学习能力（对二次元文化有深入研究者优先考虑）；2、熟悉主流游戏美术风格，且有较强的原创、创意能力。3、有一定的软件基础，能进行数字绘画（数位板使用），如：Photoshop,C4D,3Dmax以及各类数字绘画及辅助软件。4、热爱绘画，对商业插画有一定程度的涉猎，参与过实习/有游戏插画绘画经验者优先考虑；5、热爱游戏行业，对游戏制作有热情，有良好的沟通能力和团队合作意识，有较强的责任感，有较强的抗压能力和学习能力。6、艺术设计、工业设计、视觉传达、动画、游戏国画、版画、游戏美术等相关专业优先。</v>
      </c>
      <c r="N282" s="7">
        <f t="shared" si="28"/>
        <v>0</v>
      </c>
      <c r="O282" s="7">
        <f t="shared" si="29"/>
        <v>0</v>
      </c>
    </row>
    <row r="283" spans="1:15">
      <c r="A283" s="7">
        <f t="shared" si="24"/>
        <v>6</v>
      </c>
      <c r="B283" s="7" t="s">
        <v>78</v>
      </c>
      <c r="C283" s="8" t="s">
        <v>79</v>
      </c>
      <c r="D283" s="7" t="s">
        <v>935</v>
      </c>
      <c r="E283" s="7">
        <v>5</v>
      </c>
      <c r="F283" s="7" t="s">
        <v>18</v>
      </c>
      <c r="G283" s="8" t="s">
        <v>936</v>
      </c>
      <c r="H283" s="7" t="s">
        <v>184</v>
      </c>
      <c r="I283" s="7" t="str">
        <f t="shared" si="27"/>
        <v>动画师（学历：大专 专业要求：无）</v>
      </c>
      <c r="J283" s="7">
        <f t="shared" si="25"/>
        <v>59</v>
      </c>
      <c r="K283" s="7">
        <f>_xlfn.XLOOKUP(A283,长度要求!A:A,长度要求!E:E)</f>
        <v>500</v>
      </c>
      <c r="L283" s="7" t="str">
        <f t="shared" si="26"/>
        <v>根据项目要求负责游戏中各类角色动作的设计与制作，具有优秀的动画原理专业知识，练使用3Dmax或maya的动画功能模块。</v>
      </c>
      <c r="N283" s="7">
        <f t="shared" si="28"/>
        <v>0</v>
      </c>
      <c r="O283" s="7">
        <f t="shared" si="29"/>
        <v>0</v>
      </c>
    </row>
    <row r="284" spans="1:15">
      <c r="A284" s="7">
        <f t="shared" si="24"/>
        <v>6</v>
      </c>
      <c r="B284" s="7" t="s">
        <v>78</v>
      </c>
      <c r="C284" s="8" t="s">
        <v>79</v>
      </c>
      <c r="D284" s="7" t="s">
        <v>937</v>
      </c>
      <c r="E284" s="7">
        <v>10</v>
      </c>
      <c r="F284" s="7" t="s">
        <v>18</v>
      </c>
      <c r="G284" s="8" t="s">
        <v>938</v>
      </c>
      <c r="H284" s="7" t="s">
        <v>55</v>
      </c>
      <c r="I284" s="7" t="str">
        <f t="shared" si="27"/>
        <v>特效师（学历：大专 专业要求：无）</v>
      </c>
      <c r="J284" s="7">
        <f t="shared" si="25"/>
        <v>40</v>
      </c>
      <c r="K284" s="7">
        <f>_xlfn.XLOOKUP(A284,长度要求!A:A,长度要求!E:E)</f>
        <v>500</v>
      </c>
      <c r="L284" s="7" t="str">
        <f t="shared" si="26"/>
        <v>根据项目要求负责游戏中游戏特效的设计与制作，了解UE或U3D引擎相关模块的应用。</v>
      </c>
      <c r="N284" s="7">
        <f t="shared" si="28"/>
        <v>0</v>
      </c>
      <c r="O284" s="7">
        <f t="shared" si="29"/>
        <v>0</v>
      </c>
    </row>
    <row r="285" spans="1:15">
      <c r="A285" s="7">
        <f t="shared" si="24"/>
        <v>6</v>
      </c>
      <c r="B285" s="7" t="s">
        <v>78</v>
      </c>
      <c r="C285" s="8" t="s">
        <v>79</v>
      </c>
      <c r="D285" s="7" t="s">
        <v>939</v>
      </c>
      <c r="E285" s="7">
        <v>10</v>
      </c>
      <c r="F285" s="7" t="s">
        <v>18</v>
      </c>
      <c r="G285" s="8" t="s">
        <v>940</v>
      </c>
      <c r="H285" s="7" t="s">
        <v>104</v>
      </c>
      <c r="I285" s="7" t="str">
        <f t="shared" si="27"/>
        <v>3D建模师/3D模型师/三维模型师（学历：大专 专业要求：无）</v>
      </c>
      <c r="J285" s="7">
        <f t="shared" si="25"/>
        <v>177</v>
      </c>
      <c r="K285" s="7">
        <f>_xlfn.XLOOKUP(A285,长度要求!A:A,长度要求!E:E)</f>
        <v>500</v>
      </c>
      <c r="L285" s="7" t="str">
        <f t="shared" si="26"/>
        <v>1.负责项目的所需模型设计，2.根据需求制作不同级别的模型场景和人物，3.能独立完成模型制作.uv分解.贴图绘制及后期完善，4.能快速高效地按照原画制作高模，低模，制作或者绘画相关的贴图，5.负责项目的3d模型设计，研发和推进项目3d模块相关工作，做事认真负责，6.配合其他设计师进行模型的制作，共同完成美术研发工作，7.分享设计经验，提高团队整体水平。</v>
      </c>
      <c r="N285" s="7">
        <f t="shared" si="28"/>
        <v>0</v>
      </c>
      <c r="O285" s="7">
        <f t="shared" si="29"/>
        <v>0</v>
      </c>
    </row>
    <row r="286" spans="1:15">
      <c r="A286" s="7">
        <f t="shared" si="24"/>
        <v>8</v>
      </c>
      <c r="B286" s="7" t="s">
        <v>717</v>
      </c>
      <c r="C286" s="8" t="s">
        <v>718</v>
      </c>
      <c r="D286" s="7" t="s">
        <v>941</v>
      </c>
      <c r="E286" s="7">
        <v>1</v>
      </c>
      <c r="F286" s="7" t="s">
        <v>192</v>
      </c>
      <c r="G286" s="8" t="s">
        <v>942</v>
      </c>
      <c r="H286" s="7" t="s">
        <v>943</v>
      </c>
      <c r="I286" s="7" t="str">
        <f t="shared" si="27"/>
        <v>平面实习生（学历：本科 专业要求：无）</v>
      </c>
      <c r="J286" s="7">
        <f t="shared" si="25"/>
        <v>30</v>
      </c>
      <c r="K286" s="7">
        <f>_xlfn.XLOOKUP(A286,长度要求!A:A,长度要求!E:E)</f>
        <v>500</v>
      </c>
      <c r="L286" s="7" t="str">
        <f t="shared" si="26"/>
        <v>要求设计专业，会PS大三或大四学生，每周至少2天时间可以全职</v>
      </c>
      <c r="N286" s="7">
        <f t="shared" si="28"/>
        <v>0</v>
      </c>
      <c r="O286" s="7">
        <f t="shared" si="29"/>
        <v>0</v>
      </c>
    </row>
    <row r="287" spans="1:15">
      <c r="A287" s="7">
        <f t="shared" si="24"/>
        <v>8</v>
      </c>
      <c r="B287" s="7" t="s">
        <v>717</v>
      </c>
      <c r="C287" s="8" t="s">
        <v>718</v>
      </c>
      <c r="D287" s="7" t="s">
        <v>944</v>
      </c>
      <c r="E287" s="7">
        <v>20</v>
      </c>
      <c r="F287" s="7" t="s">
        <v>192</v>
      </c>
      <c r="G287" s="8" t="s">
        <v>945</v>
      </c>
      <c r="H287" s="7" t="s">
        <v>826</v>
      </c>
      <c r="I287" s="7" t="str">
        <f t="shared" si="27"/>
        <v>人事实习生（学历：本科 专业要求：无）</v>
      </c>
      <c r="J287" s="7">
        <f t="shared" si="25"/>
        <v>584</v>
      </c>
      <c r="K287" s="7">
        <f>_xlfn.XLOOKUP(A287,长度要求!A:A,长度要求!E:E)</f>
        <v>500</v>
      </c>
      <c r="L287" s="7" t="str">
        <f t="shared" si="26"/>
        <v>实习生任职要求：1.具有良好的沟通协调能力和学习能力；2.工作认真细心、负责，逻辑思维强，聪明机灵，有团队合作精神；3.能周一至五天全职上班，服从公司调剂岗位；4.此岗位为长期发展培养人才，优秀者可毕业后转为正式岗位。5.公司为同学免费提供学习成长空间，在这里有完善的薪资、绩效、培训、晋升体系，可按照管培生的培养模式发展。薪资待遇：1.实习期前三个月生活费在3000-5000元之间，经考核后第四个月起6-8千，入职就签三方协议；2.一年后年度收入在10万以上，交五险一金；3.实习期间享受与公司正式员工一样的福利待遇；入职后我们将提供：五险一金；每月温馨的生日会&amp;传统节假日丰富的礼物；结婚、子女出生赠送精美礼品&amp;带薪年假&amp;补充年休假；&amp;员工国外游&amp;交通补贴&amp;年终奖金&amp;伯乐奖金&amp;金点子奖励&amp;工龄奖励&amp;敬老奖&amp;绩效奖金&amp;餐饮补贴；每周一激情四溢的晨会，让您过足主持的瘾；注重员工的文化生活，拥有自己的菩提俱乐部，还安排了摄影项目、不同形式的聚餐（东方明珠旋转餐厅、兰桂坊、国金中心53层）户外奔跑类（如：接力赛、撕名牌）、联谊会、读书品茶等等；l更重要的是，您将拥有：一群可爱、年轻热情的家人和伙……</v>
      </c>
      <c r="N287" s="7">
        <f t="shared" si="28"/>
        <v>0</v>
      </c>
      <c r="O287" s="7">
        <f t="shared" si="29"/>
        <v>0</v>
      </c>
    </row>
    <row r="288" spans="1:15">
      <c r="A288" s="7">
        <f t="shared" si="24"/>
        <v>8</v>
      </c>
      <c r="B288" s="7" t="s">
        <v>450</v>
      </c>
      <c r="C288" s="8" t="s">
        <v>451</v>
      </c>
      <c r="D288" s="7" t="s">
        <v>946</v>
      </c>
      <c r="E288" s="7">
        <v>3</v>
      </c>
      <c r="F288" s="7" t="s">
        <v>425</v>
      </c>
      <c r="G288" s="8" t="s">
        <v>947</v>
      </c>
      <c r="H288" s="7" t="s">
        <v>948</v>
      </c>
      <c r="I288" s="7" t="str">
        <f t="shared" si="27"/>
        <v>飞行器测试设计师   （学历：硕士 专业要求：无）</v>
      </c>
      <c r="J288" s="7">
        <f t="shared" si="25"/>
        <v>313</v>
      </c>
      <c r="K288" s="7">
        <f>_xlfn.XLOOKUP(A288,长度要求!A:A,长度要求!E:E)</f>
        <v>500</v>
      </c>
      <c r="L288" s="7" t="str">
        <f t="shared" si="26"/>
        <v>岗位职责：1、负责飞行器整器和分系统测试发射技术领域专业设计、测试及具体项目的实施；2、负责飞行器整器和分系统集成综合试验和靶场测试相关试验工作；3、负责测试细则、试验总结等各类相关的技术文件编制；4、负责测试设备设计开发及相关图纸设计；5、负责相关论文、专利等科技成果编制实施。任职资格：1、测控技术与仪器、通信工程、电气/电子工程、自动化、控制工程、机械电子工程、计算机相关专业；2、熟悉电气电子相关专业知识，具有一定的设计工作能力；3、熟练运用AUTOCAD、Altium、office等电气电子设计及办公软件，熟练掌握主流编程语言(C、PYTHON等)；4、适应一定程度的加班和定期出差任务，能承受较高强度的岗位工作。</v>
      </c>
      <c r="N288" s="7">
        <f t="shared" si="28"/>
        <v>0</v>
      </c>
      <c r="O288" s="7">
        <f t="shared" si="29"/>
        <v>0</v>
      </c>
    </row>
    <row r="289" spans="1:15">
      <c r="A289" s="7">
        <f t="shared" si="24"/>
        <v>3</v>
      </c>
      <c r="B289" s="7" t="s">
        <v>446</v>
      </c>
      <c r="C289" s="8" t="s">
        <v>447</v>
      </c>
      <c r="D289" s="7" t="s">
        <v>949</v>
      </c>
      <c r="E289" s="7">
        <v>2</v>
      </c>
      <c r="F289" s="7" t="s">
        <v>192</v>
      </c>
      <c r="G289" s="8" t="s">
        <v>950</v>
      </c>
      <c r="H289" s="7" t="s">
        <v>67</v>
      </c>
      <c r="I289" s="7" t="str">
        <f t="shared" si="27"/>
        <v>运营部实习生（2026届）（学历：本科 专业要求：无）</v>
      </c>
      <c r="J289" s="7">
        <f t="shared" si="25"/>
        <v>223</v>
      </c>
      <c r="K289" s="7">
        <f>_xlfn.XLOOKUP(A289,长度要求!A:A,长度要求!E:E)</f>
        <v>500</v>
      </c>
      <c r="L289" s="7" t="str">
        <f t="shared" si="26"/>
        <v>1、参加项目运营会议，协助整理、编写会议纪要；2、配合联系指定物业管理项目，密切关注项目管理动态；3、协助汇总、收集项目管理阶段性报表，形成总结报告；4、协助跟进项目管理督办事项，反馈督办进度给部门负责人；5、协助整理、归档物业项目管理资料，如图纸、合同、补充协议、预算等；6、协助完善物业管理管理资料，编制各类图表；央企总部招聘，要求2025届应届生；配备专门的带教老师，负责岗位工作教学引导；享受固定实习津贴，毕业后根据实习情况择优录用转正。</v>
      </c>
      <c r="N289" s="7">
        <f t="shared" si="28"/>
        <v>0</v>
      </c>
      <c r="O289" s="7">
        <f t="shared" si="29"/>
        <v>0</v>
      </c>
    </row>
    <row r="290" spans="1:15">
      <c r="A290" s="7">
        <f t="shared" si="24"/>
        <v>5</v>
      </c>
      <c r="B290" s="7" t="s">
        <v>219</v>
      </c>
      <c r="C290" s="8" t="s">
        <v>220</v>
      </c>
      <c r="D290" s="7" t="s">
        <v>951</v>
      </c>
      <c r="E290" s="7">
        <v>5</v>
      </c>
      <c r="F290" s="7" t="s">
        <v>425</v>
      </c>
      <c r="G290" s="8" t="s">
        <v>952</v>
      </c>
      <c r="H290" s="7" t="s">
        <v>953</v>
      </c>
      <c r="I290" s="7" t="str">
        <f t="shared" si="27"/>
        <v>信号处理设计师（学历：硕士 专业要求：无）</v>
      </c>
      <c r="J290" s="7">
        <f t="shared" si="25"/>
        <v>87</v>
      </c>
      <c r="K290" s="7">
        <f>_xlfn.XLOOKUP(A290,长度要求!A:A,长度要求!E:E)</f>
        <v>500</v>
      </c>
      <c r="L290" s="7" t="str">
        <f t="shared" si="26"/>
        <v>信息与通信工程、电子科学与技术、控制科学与工程、仪器科学与技术、机械工程、航空宇航科学与技术、材料科学与工程、光学工程、电气工程、计算机科学与技术、兵器科学与技术等相关专业。</v>
      </c>
      <c r="N290" s="7">
        <f t="shared" si="28"/>
        <v>0</v>
      </c>
      <c r="O290" s="7">
        <f t="shared" si="29"/>
        <v>0</v>
      </c>
    </row>
    <row r="291" spans="1:15">
      <c r="A291" s="7">
        <f t="shared" si="24"/>
        <v>5</v>
      </c>
      <c r="B291" s="7" t="s">
        <v>219</v>
      </c>
      <c r="C291" s="8" t="s">
        <v>220</v>
      </c>
      <c r="D291" s="7" t="s">
        <v>954</v>
      </c>
      <c r="E291" s="7">
        <v>10</v>
      </c>
      <c r="F291" s="7" t="s">
        <v>425</v>
      </c>
      <c r="G291" s="8" t="s">
        <v>955</v>
      </c>
      <c r="H291" s="7" t="s">
        <v>956</v>
      </c>
      <c r="I291" s="7" t="str">
        <f t="shared" si="27"/>
        <v>雷达总体设计师（学历：硕士 专业要求：信息与通信工程,电子信息类）</v>
      </c>
      <c r="J291" s="7">
        <f t="shared" si="25"/>
        <v>28</v>
      </c>
      <c r="K291" s="7">
        <f>_xlfn.XLOOKUP(A291,长度要求!A:A,长度要求!E:E)</f>
        <v>500</v>
      </c>
      <c r="L291" s="7" t="str">
        <f t="shared" si="26"/>
        <v>1、负责雷达总体设计；2、软件及算法开发；详见招聘简章。</v>
      </c>
      <c r="M291" s="7" t="s">
        <v>957</v>
      </c>
      <c r="N291" s="7">
        <f t="shared" si="28"/>
        <v>13</v>
      </c>
      <c r="O291" s="7">
        <f t="shared" si="29"/>
        <v>2</v>
      </c>
    </row>
    <row r="292" spans="1:15">
      <c r="A292" s="7">
        <f t="shared" si="24"/>
        <v>5</v>
      </c>
      <c r="B292" s="7" t="s">
        <v>189</v>
      </c>
      <c r="C292" s="8" t="s">
        <v>190</v>
      </c>
      <c r="D292" s="7" t="s">
        <v>958</v>
      </c>
      <c r="E292" s="7">
        <v>5</v>
      </c>
      <c r="F292" s="7" t="s">
        <v>192</v>
      </c>
      <c r="G292" s="8" t="s">
        <v>959</v>
      </c>
      <c r="H292" s="7" t="s">
        <v>266</v>
      </c>
      <c r="I292" s="7" t="str">
        <f t="shared" si="27"/>
        <v>机械液压设计工程师（学历：本科 专业要求：机械类,机械电子工程,机械制造及其自动化,动力机械及工程,机械设计与制造,机械制造与自动化）</v>
      </c>
      <c r="J292" s="7">
        <f t="shared" si="25"/>
        <v>145</v>
      </c>
      <c r="K292" s="7">
        <f>_xlfn.XLOOKUP(A292,长度要求!A:A,长度要求!E:E)</f>
        <v>500</v>
      </c>
      <c r="L292" s="7" t="str">
        <f t="shared" si="26"/>
        <v>任职及岗位要求：1.为人诚信，工作认真负责，高度敬业精神。2.较强的学习、交流、沟通能力，具有团队合作精神。3.基本的机械液压相关知识，专业课程学分良好。4.熟练使用工程相关绘图软件，如CAD,CAXA,Solidworks等，主要负责液压系统及设备的设计工作。工作地点：上海或者四川德阳市</v>
      </c>
      <c r="M292" s="7" t="s">
        <v>960</v>
      </c>
      <c r="N292" s="7">
        <f t="shared" si="28"/>
        <v>45</v>
      </c>
      <c r="O292" s="7">
        <f t="shared" si="29"/>
        <v>6</v>
      </c>
    </row>
    <row r="293" spans="1:15">
      <c r="A293" s="7">
        <f t="shared" si="24"/>
        <v>6</v>
      </c>
      <c r="B293" s="7" t="s">
        <v>318</v>
      </c>
      <c r="C293" s="8" t="s">
        <v>319</v>
      </c>
      <c r="D293" s="7" t="s">
        <v>961</v>
      </c>
      <c r="E293" s="7">
        <v>5</v>
      </c>
      <c r="F293" s="7" t="s">
        <v>192</v>
      </c>
      <c r="G293" s="8" t="s">
        <v>962</v>
      </c>
      <c r="H293" s="7" t="s">
        <v>70</v>
      </c>
      <c r="I293" s="7" t="str">
        <f t="shared" si="27"/>
        <v>维保管培生（学历：本科 专业要求：机电一体化技术）</v>
      </c>
      <c r="J293" s="7">
        <f t="shared" si="25"/>
        <v>163</v>
      </c>
      <c r="K293" s="7">
        <f>_xlfn.XLOOKUP(A293,长度要求!A:A,长度要求!E:E)</f>
        <v>500</v>
      </c>
      <c r="L293" s="7" t="str">
        <f t="shared" si="26"/>
        <v>1、全日制本科及本科以上学历应届毕业生，优秀的2020年毕业生亦可；2、有意向在电梯行业发展，公司提供专业的电梯知识、技能培训，明确的个人职业发展规划；3、可发展成维保站长、维保经理等，3年内成为公司骨干，作为公司的储备管理人才。4、吃苦耐劳，意志坚定，愿意服从安排到一线岗位历练；5、目标明确，富有工作热情与激情，善于学习；</v>
      </c>
      <c r="M293" s="7" t="s">
        <v>963</v>
      </c>
      <c r="N293" s="7">
        <f t="shared" si="28"/>
        <v>7</v>
      </c>
      <c r="O293" s="7">
        <f t="shared" si="29"/>
        <v>1</v>
      </c>
    </row>
    <row r="294" spans="1:15">
      <c r="A294" s="7">
        <f t="shared" si="24"/>
        <v>1</v>
      </c>
      <c r="B294" s="7" t="s">
        <v>964</v>
      </c>
      <c r="C294" s="8" t="s">
        <v>965</v>
      </c>
      <c r="D294" s="7" t="s">
        <v>966</v>
      </c>
      <c r="E294" s="7">
        <v>1</v>
      </c>
      <c r="F294" s="7" t="s">
        <v>192</v>
      </c>
      <c r="G294" s="8" t="s">
        <v>967</v>
      </c>
      <c r="H294" s="7" t="s">
        <v>458</v>
      </c>
      <c r="I294" s="7" t="str">
        <f t="shared" si="27"/>
        <v>培训助理（学历：本科 专业要求：人力资源管理）</v>
      </c>
      <c r="J294" s="7">
        <f t="shared" si="25"/>
        <v>227</v>
      </c>
      <c r="K294" s="7">
        <f>_xlfn.XLOOKUP(A294,长度要求!A:A,长度要求!E:E)</f>
        <v>500</v>
      </c>
      <c r="L294" s="7" t="str">
        <f t="shared" si="26"/>
        <v>工作内容：1.协助组织/学习发展各项数据的统计与整理2.协助各类组织/学习发展活动的前期材料准备、内部宣传与策划3.协助各项组织/学习发展活动现场的支持4.做好组织/学习发展各类文档、音视频材料的整理及归档5.领导交办的其他事宜基本要求：1.本科及以上，大三及研二优先考虑2.具有较强的英文读写能力，CET六级及以上3.细心和耐心，具备较强的沟通能力和学习能力，逻辑思维能力强4.熟练使用OFFICE办公软件，熟悉平面设计相关软件优先5.每周至少3天实习</v>
      </c>
      <c r="M294" s="7" t="s">
        <v>968</v>
      </c>
      <c r="N294" s="7">
        <f t="shared" si="28"/>
        <v>6</v>
      </c>
      <c r="O294" s="7">
        <f t="shared" si="29"/>
        <v>1</v>
      </c>
    </row>
    <row r="295" spans="1:15">
      <c r="A295" s="7">
        <f t="shared" si="24"/>
        <v>4</v>
      </c>
      <c r="B295" s="7" t="s">
        <v>58</v>
      </c>
      <c r="C295" s="8" t="s">
        <v>59</v>
      </c>
      <c r="D295" s="7" t="s">
        <v>969</v>
      </c>
      <c r="E295" s="7">
        <v>5</v>
      </c>
      <c r="F295" s="7" t="s">
        <v>192</v>
      </c>
      <c r="G295" s="8" t="s">
        <v>970</v>
      </c>
      <c r="H295" s="7" t="s">
        <v>971</v>
      </c>
      <c r="I295" s="7" t="str">
        <f t="shared" si="27"/>
        <v>总裁办管培生（学历：本科 专业要求：无）</v>
      </c>
      <c r="J295" s="7">
        <f t="shared" si="25"/>
        <v>506</v>
      </c>
      <c r="K295" s="7">
        <f>_xlfn.XLOOKUP(A295,长度要求!A:A,长度要求!E:E)</f>
        <v>500</v>
      </c>
      <c r="L295" s="7" t="str">
        <f t="shared" si="26"/>
        <v>【总裁办管理培训生】★BASE地：上海、武汉★薪资待遇：13k~20k+弹性奖励（根据工作表现而定）★岗位内容：1、前3个月的业务销售锻炼，熟悉业务部门的主要工作和掌握必要客户开发和维护的技能（电销+面销），了解公司的管理制度、运作模式、行政、人事、跨部门沟通等方面，提出建议，促进改进；2、总裁办的督办和职能业务锻炼，协助公司完成各部门的相关项目，完成能力规划的训练和培养。负责督办集团各个部门，发现问题，分析原因，与部门相关负责人沟通对接，提出建议，督促并改进，以及项目执行等总办其他工作安排；3、经过业务销售和总裁办的工作锻炼，对公司体系有了全面的深入了解，将根据个人能力、自身意愿和公司需求进行部门定岗，深入发展和提升业务能力。★任职资格：1、985211学历，应届毕业生，专业不限，学习成绩优异；2、熟练使用Word、Excel、PPT等办公软件，积极参加校内外活动，并有相应优异表现；3、学习能力强，抗压能力强，条理清晰，认真负责，做事靠谱，能够多线程任务工作；4、擅长沟通、跨部门协作、善于自我管理，能够积极主动督办总办各类工作；5、适应能力要强，爱学习，职业、敬业，接受拥抱变化，阶段……</v>
      </c>
      <c r="N295" s="7">
        <f t="shared" si="28"/>
        <v>0</v>
      </c>
      <c r="O295" s="7">
        <f t="shared" si="29"/>
        <v>0</v>
      </c>
    </row>
    <row r="296" spans="1:15">
      <c r="A296" s="7">
        <f t="shared" si="24"/>
        <v>4</v>
      </c>
      <c r="B296" s="7" t="s">
        <v>194</v>
      </c>
      <c r="C296" s="8" t="s">
        <v>195</v>
      </c>
      <c r="D296" s="7" t="s">
        <v>972</v>
      </c>
      <c r="E296" s="7">
        <v>20</v>
      </c>
      <c r="F296" s="7" t="s">
        <v>18</v>
      </c>
      <c r="G296" s="8" t="s">
        <v>973</v>
      </c>
      <c r="H296" s="7" t="s">
        <v>104</v>
      </c>
      <c r="I296" s="7" t="str">
        <f t="shared" si="27"/>
        <v>客服管培生（学历：大专 专业要求：无）</v>
      </c>
      <c r="J296" s="7">
        <f t="shared" si="25"/>
        <v>75</v>
      </c>
      <c r="K296" s="7">
        <f>_xlfn.XLOOKUP(A296,长度要求!A:A,长度要求!E:E)</f>
        <v>500</v>
      </c>
      <c r="L296" s="7" t="str">
        <f t="shared" si="26"/>
        <v>岗位：客服管培生薪资：基本工资5500元+绩效要求：1、形象好、气质佳、有亲和力；2、女165cm以上；3、具备一定的服务意识。以上岗位均免费提供食宿</v>
      </c>
      <c r="N296" s="7">
        <f t="shared" si="28"/>
        <v>0</v>
      </c>
      <c r="O296" s="7">
        <f t="shared" si="29"/>
        <v>0</v>
      </c>
    </row>
    <row r="297" spans="1:15">
      <c r="A297" s="7">
        <f t="shared" si="24"/>
        <v>4</v>
      </c>
      <c r="B297" s="7" t="s">
        <v>194</v>
      </c>
      <c r="C297" s="8" t="s">
        <v>195</v>
      </c>
      <c r="D297" s="7" t="s">
        <v>974</v>
      </c>
      <c r="E297" s="7">
        <v>20</v>
      </c>
      <c r="F297" s="7" t="s">
        <v>18</v>
      </c>
      <c r="G297" s="8" t="s">
        <v>975</v>
      </c>
      <c r="H297" s="7" t="s">
        <v>976</v>
      </c>
      <c r="I297" s="7" t="str">
        <f t="shared" si="27"/>
        <v>市场营销（学历：大专 专业要求：无）</v>
      </c>
      <c r="J297" s="7">
        <f t="shared" si="25"/>
        <v>96</v>
      </c>
      <c r="K297" s="7">
        <f>_xlfn.XLOOKUP(A297,长度要求!A:A,长度要求!E:E)</f>
        <v>500</v>
      </c>
      <c r="L297" s="7" t="str">
        <f t="shared" si="26"/>
        <v>岗位：市场营销薪资：保底薪资8000＋提成要求：1、形象好、气质佳、沟通能力强；2、身高男170cm以上、女160cm以上；3、热爱销售工作，热爱汽车，有良好的销售技巧。以上岗位均免费提供食宿</v>
      </c>
      <c r="N297" s="7">
        <f t="shared" si="28"/>
        <v>0</v>
      </c>
      <c r="O297" s="7">
        <f t="shared" si="29"/>
        <v>0</v>
      </c>
    </row>
    <row r="298" spans="1:15">
      <c r="A298" s="7">
        <f t="shared" si="24"/>
        <v>3</v>
      </c>
      <c r="B298" s="7" t="s">
        <v>977</v>
      </c>
      <c r="C298" s="8" t="s">
        <v>978</v>
      </c>
      <c r="D298" s="7" t="s">
        <v>944</v>
      </c>
      <c r="E298" s="7">
        <v>1</v>
      </c>
      <c r="F298" s="7" t="s">
        <v>192</v>
      </c>
      <c r="G298" s="8" t="s">
        <v>979</v>
      </c>
      <c r="H298" s="7" t="s">
        <v>480</v>
      </c>
      <c r="I298" s="7" t="str">
        <f t="shared" si="27"/>
        <v>人事实习生（学历：本科 专业要求：无）</v>
      </c>
      <c r="J298" s="7">
        <f t="shared" si="25"/>
        <v>171</v>
      </c>
      <c r="K298" s="7">
        <f>_xlfn.XLOOKUP(A298,长度要求!A:A,长度要求!E:E)</f>
        <v>500</v>
      </c>
      <c r="L298" s="7" t="str">
        <f t="shared" si="26"/>
        <v>岗位职责：1、负责EHR系统人员信息管理，确保人员信息准确性；2、负责人员档案收集管理，人员晋升、异动、个人材料资料完成；3、负责公司人员合同、登记、盖章、下发，证书的登记记录；4、完成上级布置的其他工作。岗位要求：1、本科以上，人力资源相关专业均可；2、电脑操作熟练，熟悉office使用；3、有良好的团队合作意识和沟通协调能力，认真踏实；</v>
      </c>
      <c r="N298" s="7">
        <f t="shared" si="28"/>
        <v>0</v>
      </c>
      <c r="O298" s="7">
        <f t="shared" si="29"/>
        <v>0</v>
      </c>
    </row>
    <row r="299" spans="1:15">
      <c r="A299" s="7">
        <f t="shared" si="24"/>
        <v>6</v>
      </c>
      <c r="B299" s="7" t="s">
        <v>455</v>
      </c>
      <c r="C299" s="8" t="s">
        <v>456</v>
      </c>
      <c r="D299" s="7" t="s">
        <v>980</v>
      </c>
      <c r="E299" s="7">
        <v>20</v>
      </c>
      <c r="F299" s="7" t="s">
        <v>34</v>
      </c>
      <c r="G299" s="8" t="s">
        <v>981</v>
      </c>
      <c r="H299" s="7" t="s">
        <v>97</v>
      </c>
      <c r="I299" s="7" t="str">
        <f t="shared" si="27"/>
        <v>生产制造类（学历：中专/技校 专业要求：无）</v>
      </c>
      <c r="J299" s="7">
        <f t="shared" si="25"/>
        <v>99</v>
      </c>
      <c r="K299" s="7">
        <f>_xlfn.XLOOKUP(A299,长度要求!A:A,长度要求!E:E)</f>
        <v>500</v>
      </c>
      <c r="L299" s="7" t="str">
        <f t="shared" si="26"/>
        <v>培养方向：产线储干、质量工程师、采购工程师、计划物流储干、工艺工程岗位要求：①2026届毕业生，中专及以上学历；②机械机电、物流管理等理工科专业优先；③进取好学，善于思考，有一定创新能力及抗压能力。</v>
      </c>
      <c r="N299" s="7">
        <f t="shared" si="28"/>
        <v>0</v>
      </c>
      <c r="O299" s="7">
        <f t="shared" si="29"/>
        <v>0</v>
      </c>
    </row>
    <row r="300" spans="1:15">
      <c r="A300" s="7">
        <f t="shared" si="24"/>
        <v>6</v>
      </c>
      <c r="B300" s="7" t="s">
        <v>318</v>
      </c>
      <c r="C300" s="8" t="s">
        <v>319</v>
      </c>
      <c r="D300" s="7" t="s">
        <v>982</v>
      </c>
      <c r="E300" s="7">
        <v>2</v>
      </c>
      <c r="F300" s="7" t="s">
        <v>18</v>
      </c>
      <c r="G300" s="8" t="s">
        <v>983</v>
      </c>
      <c r="H300" s="7" t="s">
        <v>184</v>
      </c>
      <c r="I300" s="7" t="str">
        <f t="shared" si="27"/>
        <v>营业设计师（学历：大专 专业要求：无）</v>
      </c>
      <c r="J300" s="7">
        <f t="shared" si="25"/>
        <v>202</v>
      </c>
      <c r="K300" s="7">
        <f>_xlfn.XLOOKUP(A300,长度要求!A:A,长度要求!E:E)</f>
        <v>500</v>
      </c>
      <c r="L300" s="7" t="str">
        <f t="shared" si="26"/>
        <v>1、负责项目信息的收集、整理、分析2、负责维护客户,建立合作关系3、跟踪项目,绘制电梯图纸,确保做好项目相关事宜4、为客户提供专业的电梯技术咨询,掌握客户需求5、及时完成领导交办的其他工作职位要求:1、大专及以上学历，机械类及机电一体化专业毕业优先;2、有CAD基础优先；3、有相关工作经验优先；4、具有良好的人际交往及团队合作精神；5、良好的语言表达能力；6、踏实勤奋正直,能够承受压力,23~35岁。</v>
      </c>
      <c r="N300" s="7">
        <f t="shared" si="28"/>
        <v>0</v>
      </c>
      <c r="O300" s="7">
        <f t="shared" si="29"/>
        <v>0</v>
      </c>
    </row>
    <row r="301" spans="1:15">
      <c r="A301" s="7">
        <f t="shared" si="24"/>
        <v>3</v>
      </c>
      <c r="B301" s="7" t="s">
        <v>558</v>
      </c>
      <c r="C301" s="8" t="s">
        <v>559</v>
      </c>
      <c r="D301" s="7" t="s">
        <v>984</v>
      </c>
      <c r="E301" s="7">
        <v>3</v>
      </c>
      <c r="F301" s="7" t="s">
        <v>27</v>
      </c>
      <c r="G301" s="8" t="s">
        <v>985</v>
      </c>
      <c r="H301" s="7" t="s">
        <v>385</v>
      </c>
      <c r="I301" s="7" t="str">
        <f t="shared" si="27"/>
        <v>副总秘书（学历：初中及以下 专业要求：电子商务类,计算机信息管理,计算机类,计算机科学与技术,秘书学）</v>
      </c>
      <c r="J301" s="7">
        <f t="shared" si="25"/>
        <v>288</v>
      </c>
      <c r="K301" s="7">
        <f>_xlfn.XLOOKUP(A301,长度要求!A:A,长度要求!E:E)</f>
        <v>500</v>
      </c>
      <c r="L301" s="7" t="str">
        <f t="shared" si="26"/>
        <v>1.整理日常公文、报告等相关文书资料；2、负责部门呈送批核文件的预审、整理、分类及递交工作；3、负责日常会议的组织、安排，并负责起草、汇总会议资料；4、负责日常来访客人的接待工作；5、日常行程的协调及安排工作；任职要求：1.大专及以上学历；2、熟练使用office等办公软件，语言及文字表达能力强；3、形象气质佳4、性格热情开朗，善于沟通；做事细致、认真，亲和力强；公司福利：1、公司提供员工公寓，表现优异者可升级为单人公寓；2、公司环境优美，绿植丰富，生活便利。公司园区内有无人超市，羽毛球馆、网球场、台球、乒乓球、健身房、书吧等；3、朝阳行业，晋升方向多元化，晋升空间大。</v>
      </c>
      <c r="M301" s="7" t="s">
        <v>986</v>
      </c>
      <c r="N301" s="7">
        <f t="shared" si="28"/>
        <v>31</v>
      </c>
      <c r="O301" s="7">
        <f t="shared" si="29"/>
        <v>5</v>
      </c>
    </row>
    <row r="302" spans="1:15">
      <c r="A302" s="7">
        <f t="shared" si="24"/>
        <v>1</v>
      </c>
      <c r="B302" s="7" t="s">
        <v>987</v>
      </c>
      <c r="C302" s="8" t="s">
        <v>988</v>
      </c>
      <c r="D302" s="7" t="s">
        <v>989</v>
      </c>
      <c r="E302" s="7">
        <v>10</v>
      </c>
      <c r="F302" s="7" t="s">
        <v>18</v>
      </c>
      <c r="G302" s="8" t="s">
        <v>990</v>
      </c>
      <c r="H302" s="7" t="s">
        <v>480</v>
      </c>
      <c r="I302" s="7" t="str">
        <f t="shared" si="27"/>
        <v>客服专员（学历：大专 专业要求：无）</v>
      </c>
      <c r="J302" s="7">
        <f t="shared" si="25"/>
        <v>316</v>
      </c>
      <c r="K302" s="7">
        <f>_xlfn.XLOOKUP(A302,长度要求!A:A,长度要求!E:E)</f>
        <v>500</v>
      </c>
      <c r="L302" s="7" t="str">
        <f t="shared" si="26"/>
        <v>职位描述：1、接听顾客来电，提供汽车相关业务咨询服务；2、在线帮助客户解答处理车辆问题；3、对于电话内容进行原话录入；4、对于入电数据汇总统计。任职要求：1、中专及以上学历，有2年以上客户服务工作经验者优先。2、普通话标准、流利，具备良好的服务意识，亲和力强。3、具备良好的表达、理解、判断和沟通能力。4、计算机操作熟练，中文输入45字/分钟以上。5、为人真诚，具备良好的团队合作精神。工作时间：做五休二，轮休制度，工作时间9:30-18:30或者8-22点之间轮班综合薪资：满勤3000+500（车贴、满勤）+表现奖励工作地址：上海市宝山区少年村路6号/浦东新区德堡路472号地铁路线：地铁七号线场中路站1号出口，步行15分钟左右</v>
      </c>
      <c r="N302" s="7">
        <f t="shared" si="28"/>
        <v>0</v>
      </c>
      <c r="O302" s="7">
        <f t="shared" si="29"/>
        <v>0</v>
      </c>
    </row>
    <row r="303" spans="1:15">
      <c r="A303" s="7">
        <f t="shared" si="24"/>
        <v>1</v>
      </c>
      <c r="B303" s="7" t="s">
        <v>991</v>
      </c>
      <c r="C303" s="8" t="s">
        <v>992</v>
      </c>
      <c r="D303" s="7" t="s">
        <v>993</v>
      </c>
      <c r="E303" s="7">
        <v>15</v>
      </c>
      <c r="F303" s="7" t="s">
        <v>18</v>
      </c>
      <c r="G303" s="8" t="s">
        <v>994</v>
      </c>
      <c r="H303" s="7" t="s">
        <v>67</v>
      </c>
      <c r="I303" s="7" t="str">
        <f t="shared" si="27"/>
        <v>育婴师/保育员（学历：大专 专业要求：无）</v>
      </c>
      <c r="J303" s="7">
        <f t="shared" si="25"/>
        <v>156</v>
      </c>
      <c r="K303" s="7">
        <f>_xlfn.XLOOKUP(A303,长度要求!A:A,长度要求!E:E)</f>
        <v>500</v>
      </c>
      <c r="L303" s="7" t="str">
        <f t="shared" si="26"/>
        <v>工作职责：1、协助主班老师完成教育教学任务；2、协助负责婴幼儿在园一日生活常规管理。实习地址：上海市杨浦区长阳路2087弄8号上海市宝山区漠河路230号1幢1楼上海市闵行区虹梅路2878、2882号上海市闵行区紫月路919号上海市闵行区宁虹路1166号106、107室浦东新区祝桥镇上飞路919号梦栖园45幢1楼</v>
      </c>
      <c r="N303" s="7">
        <f t="shared" si="28"/>
        <v>0</v>
      </c>
      <c r="O303" s="7">
        <f t="shared" si="29"/>
        <v>0</v>
      </c>
    </row>
    <row r="304" spans="1:15">
      <c r="A304" s="7">
        <f t="shared" si="24"/>
        <v>1</v>
      </c>
      <c r="B304" s="7" t="s">
        <v>995</v>
      </c>
      <c r="C304" s="8" t="s">
        <v>996</v>
      </c>
      <c r="D304" s="7" t="s">
        <v>997</v>
      </c>
      <c r="E304" s="7">
        <v>2</v>
      </c>
      <c r="F304" s="7" t="s">
        <v>192</v>
      </c>
      <c r="G304" s="8" t="s">
        <v>998</v>
      </c>
      <c r="H304" s="7" t="s">
        <v>458</v>
      </c>
      <c r="I304" s="7" t="str">
        <f t="shared" si="27"/>
        <v>运营助理（学历：本科 专业要求：市场营销,电子商务）</v>
      </c>
      <c r="J304" s="7">
        <f t="shared" si="25"/>
        <v>238</v>
      </c>
      <c r="K304" s="7">
        <f>_xlfn.XLOOKUP(A304,长度要求!A:A,长度要求!E:E)</f>
        <v>500</v>
      </c>
      <c r="L304" s="7" t="str">
        <f t="shared" si="26"/>
        <v>岗位职责：1、负责线上店铺的产品发布更新及维护，相关线上客情维护；2、负责店铺日常促销活动的提报、规划，针对活动效果进行跟踪和评估；3、负责线上产品数据整理分析，产品限价管理等事宜；4、主管安排的其他工作。岗位要求：1、本科及以上学历，专业不限，欢迎应届电脑DIY爱好者；2、熟悉电商及天猫、淘宝店铺运营模式；3、富有团队协作精神，认真、仔细、有责任心；4、熟练操作Excel、PPT等办公软件，有一定数据分析能力；5、良好的职业修养，有一定的沟通及表达能力，有一定抗压能力。</v>
      </c>
      <c r="M304" s="7" t="s">
        <v>999</v>
      </c>
      <c r="N304" s="7">
        <f t="shared" si="28"/>
        <v>9</v>
      </c>
      <c r="O304" s="7">
        <f t="shared" si="29"/>
        <v>2</v>
      </c>
    </row>
    <row r="305" spans="1:15">
      <c r="A305" s="7">
        <f t="shared" si="24"/>
        <v>5</v>
      </c>
      <c r="B305" s="7" t="s">
        <v>180</v>
      </c>
      <c r="C305" s="8" t="s">
        <v>181</v>
      </c>
      <c r="D305" s="7" t="s">
        <v>303</v>
      </c>
      <c r="E305" s="7">
        <v>5</v>
      </c>
      <c r="F305" s="7" t="s">
        <v>18</v>
      </c>
      <c r="G305" s="8" t="s">
        <v>1000</v>
      </c>
      <c r="H305" s="7" t="s">
        <v>184</v>
      </c>
      <c r="I305" s="7" t="str">
        <f t="shared" si="27"/>
        <v>销售（学历：大专 专业要求：无）</v>
      </c>
      <c r="J305" s="7">
        <f t="shared" si="25"/>
        <v>139</v>
      </c>
      <c r="K305" s="7">
        <f>_xlfn.XLOOKUP(A305,长度要求!A:A,长度要求!E:E)</f>
        <v>500</v>
      </c>
      <c r="L305" s="7" t="str">
        <f t="shared" si="26"/>
        <v>支持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v>
      </c>
      <c r="N305" s="7">
        <f t="shared" si="28"/>
        <v>0</v>
      </c>
      <c r="O305" s="7">
        <f t="shared" si="29"/>
        <v>0</v>
      </c>
    </row>
    <row r="306" spans="1:15">
      <c r="A306" s="7">
        <f t="shared" si="24"/>
        <v>5</v>
      </c>
      <c r="B306" s="7" t="s">
        <v>180</v>
      </c>
      <c r="C306" s="8" t="s">
        <v>181</v>
      </c>
      <c r="D306" s="7" t="s">
        <v>1001</v>
      </c>
      <c r="E306" s="7">
        <v>5</v>
      </c>
      <c r="F306" s="7" t="s">
        <v>18</v>
      </c>
      <c r="G306" s="8" t="s">
        <v>1002</v>
      </c>
      <c r="H306" s="7" t="s">
        <v>184</v>
      </c>
      <c r="I306" s="7" t="str">
        <f t="shared" si="27"/>
        <v>经理助理（学历：大专 专业要求：无）</v>
      </c>
      <c r="J306" s="7">
        <f t="shared" si="25"/>
        <v>225</v>
      </c>
      <c r="K306" s="7">
        <f>_xlfn.XLOOKUP(A306,长度要求!A:A,长度要求!E:E)</f>
        <v>500</v>
      </c>
      <c r="L306" s="7" t="str">
        <f t="shared" si="26"/>
        <v>支持经理处理日常办公室工作；内部外部文件收集及文件翻译.支持专家的工作，保持与供应商的联系。跟进工作或项目并反馈给经理。.根据经理的要求做数据分析和市场调研。.为经理准备汇报的资料和展示PPT。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v>
      </c>
      <c r="N306" s="7">
        <f t="shared" si="28"/>
        <v>0</v>
      </c>
      <c r="O306" s="7">
        <f t="shared" si="29"/>
        <v>0</v>
      </c>
    </row>
    <row r="307" spans="1:15">
      <c r="A307" s="7">
        <f t="shared" si="24"/>
        <v>2</v>
      </c>
      <c r="B307" s="7" t="s">
        <v>155</v>
      </c>
      <c r="C307" s="8" t="s">
        <v>156</v>
      </c>
      <c r="D307" s="7" t="s">
        <v>1003</v>
      </c>
      <c r="E307" s="7">
        <v>20</v>
      </c>
      <c r="F307" s="7" t="s">
        <v>18</v>
      </c>
      <c r="G307" s="8" t="s">
        <v>1004</v>
      </c>
      <c r="H307" s="7" t="s">
        <v>67</v>
      </c>
      <c r="I307" s="7" t="str">
        <f t="shared" si="27"/>
        <v>管理培训生（学历：大专 专业要求：无）</v>
      </c>
      <c r="J307" s="7">
        <f t="shared" si="25"/>
        <v>879</v>
      </c>
      <c r="K307" s="7">
        <f>_xlfn.XLOOKUP(A307,长度要求!A:A,长度要求!E:E)</f>
        <v>500</v>
      </c>
      <c r="L307" s="7" t="str">
        <f t="shared" si="26"/>
        <v>1、总部职能岗位管理培训生：服务管控中心、品质管控中心、企业发展中心、财务管理部、综合管理部和人力资源部管理培训生；2、运营岗位管理培训生：上海各项目基础管理岗位管理培训生即项目运营条线秩序维护、工程管理、客户服务、环境管理和综合管理岗位管理培训生。岗位需求：根据公司发展不断扩大，为了更好提升管理团队的综合素养，也为了更好的对职能和项目管理人员进行补充，特拟定自2022年10月起启动招聘“新瑞”计划，即招收20名应届毕业生，具体要求如下：1、有志于从事物业管理行业；2、男女不限、形象良好，较强的沟通和表达能力；思维活跃，有较强的创新意识；有责任心，适应能力和抗压性强，3、有一定的文书编写能力，熟练操作各类电脑软件如PPT、PHOTOSHOP等；4、专业不限、户籍不限，除工程类“新瑞”需要对口机电类、工程技术类专业外；5、本科以上，985，211院校可优先考虑，条件特别优秀者可放宽至应届大专毕业生。如经面试录取后实习期为2023年2月起至2023年6月30日，经实习期评估合格可签订正式劳动合同，签订正式劳动岗位职级不低于主管级。工作内容：通过在总部、区域、项目的轮岗学习，对职能人力行政、……</v>
      </c>
      <c r="N307" s="7">
        <f t="shared" si="28"/>
        <v>0</v>
      </c>
      <c r="O307" s="7">
        <f t="shared" si="29"/>
        <v>0</v>
      </c>
    </row>
    <row r="308" spans="1:15">
      <c r="A308" s="7">
        <f t="shared" si="24"/>
        <v>1</v>
      </c>
      <c r="B308" s="7" t="s">
        <v>1005</v>
      </c>
      <c r="C308" s="8" t="s">
        <v>1006</v>
      </c>
      <c r="D308" s="7" t="s">
        <v>1007</v>
      </c>
      <c r="E308" s="7">
        <v>5</v>
      </c>
      <c r="F308" s="7" t="s">
        <v>27</v>
      </c>
      <c r="G308" s="8" t="s">
        <v>1008</v>
      </c>
      <c r="H308" s="7" t="s">
        <v>1009</v>
      </c>
      <c r="I308" s="7" t="str">
        <f t="shared" si="27"/>
        <v>财务管培生（学历：初中及以下 专业要求：无）</v>
      </c>
      <c r="J308" s="7">
        <f t="shared" si="25"/>
        <v>209</v>
      </c>
      <c r="K308" s="7">
        <f>_xlfn.XLOOKUP(A308,长度要求!A:A,长度要求!E:E)</f>
        <v>500</v>
      </c>
      <c r="L308" s="7" t="str">
        <f t="shared" si="26"/>
        <v>工作职责：1.财务轮岗：包括总账、资金、税务、成本及财务分析，全面储备培训；2.熟悉各岗位工作职责，善于发现问题，提出问题并寻求解决问题方法，提高工作效率及输出结果；3.协助导师完成一些基础工作。任职资格：1.熟悉国家会计、税务法律法规及相关税收政策；2.能够熟练运用财务软件及办公软件；3.良好的个人发展意愿，较强的语言表达、沟通协调能力；4.接受从基层岗位做起，有较强的学习能力与执行能力，富有团队精神和奉献精神。</v>
      </c>
      <c r="N308" s="7">
        <f t="shared" si="28"/>
        <v>0</v>
      </c>
      <c r="O308" s="7">
        <f t="shared" si="29"/>
        <v>0</v>
      </c>
    </row>
    <row r="309" spans="1:15">
      <c r="A309" s="7">
        <f t="shared" si="24"/>
        <v>3</v>
      </c>
      <c r="B309" s="7" t="s">
        <v>1010</v>
      </c>
      <c r="C309" s="8" t="s">
        <v>1011</v>
      </c>
      <c r="D309" s="7" t="s">
        <v>1012</v>
      </c>
      <c r="E309" s="7">
        <v>5</v>
      </c>
      <c r="F309" s="7" t="s">
        <v>192</v>
      </c>
      <c r="G309" s="8" t="s">
        <v>1013</v>
      </c>
      <c r="H309" s="7" t="s">
        <v>1014</v>
      </c>
      <c r="I309" s="7" t="str">
        <f t="shared" si="27"/>
        <v>工程师（学历：本科 专业要求：机械设计制造类,控制科学与工程,测试计量技术及仪器,自动化）</v>
      </c>
      <c r="J309" s="7">
        <f t="shared" si="25"/>
        <v>98</v>
      </c>
      <c r="K309" s="7">
        <f>_xlfn.XLOOKUP(A309,长度要求!A:A,长度要求!E:E)</f>
        <v>500</v>
      </c>
      <c r="L309" s="7" t="str">
        <f t="shared" si="26"/>
        <v>任职资格：1、机械/机械电子/控制/仪器仪表/自动化等相关专业2、大学本科3、熟练掌握AutoCAD、Pro/E、ADAMS、ANSYS等绘图、仿真、计算软件；5、具有较强的组织、表达、写作能力。</v>
      </c>
      <c r="M309" s="7" t="s">
        <v>1015</v>
      </c>
      <c r="N309" s="7">
        <f t="shared" si="28"/>
        <v>29</v>
      </c>
      <c r="O309" s="7">
        <f t="shared" si="29"/>
        <v>4</v>
      </c>
    </row>
    <row r="310" spans="1:15">
      <c r="A310" s="7">
        <f t="shared" si="24"/>
        <v>3</v>
      </c>
      <c r="B310" s="7" t="s">
        <v>1010</v>
      </c>
      <c r="C310" s="8" t="s">
        <v>1011</v>
      </c>
      <c r="D310" s="7" t="s">
        <v>1016</v>
      </c>
      <c r="E310" s="7">
        <v>2</v>
      </c>
      <c r="F310" s="7" t="s">
        <v>425</v>
      </c>
      <c r="G310" s="8" t="s">
        <v>1017</v>
      </c>
      <c r="H310" s="7" t="s">
        <v>1018</v>
      </c>
      <c r="I310" s="7" t="str">
        <f t="shared" si="27"/>
        <v>智能热试验技术专业工程师（学历：硕士 专业要求：动力工程及工程热物理）</v>
      </c>
      <c r="J310" s="7">
        <f t="shared" si="25"/>
        <v>150</v>
      </c>
      <c r="K310" s="7">
        <f>_xlfn.XLOOKUP(A310,长度要求!A:A,长度要求!E:E)</f>
        <v>500</v>
      </c>
      <c r="L310" s="7" t="str">
        <f t="shared" si="26"/>
        <v>工作职责1、跟踪航天器热试验技术新动态，开展空间环境试验前沿技术的研究和相关产品的研发；2、负责相关预研课题的申报、研究；3、国军标、院标、所标的申请与编写；4、参与技改论证。任职资格1、工程热物理专业背景；2、熟悉航天器热设计理论专业知识；3、熟悉相关专业软件；4、具有较强的组织、表达、写作能力。</v>
      </c>
      <c r="M310" s="7" t="s">
        <v>1019</v>
      </c>
      <c r="N310" s="7">
        <f t="shared" si="28"/>
        <v>10</v>
      </c>
      <c r="O310" s="7">
        <f t="shared" si="29"/>
        <v>1</v>
      </c>
    </row>
    <row r="311" spans="1:15">
      <c r="A311" s="7">
        <f t="shared" si="24"/>
        <v>8</v>
      </c>
      <c r="B311" s="7" t="s">
        <v>450</v>
      </c>
      <c r="C311" s="8" t="s">
        <v>451</v>
      </c>
      <c r="D311" s="7" t="s">
        <v>1020</v>
      </c>
      <c r="E311" s="7">
        <v>5</v>
      </c>
      <c r="F311" s="7" t="s">
        <v>425</v>
      </c>
      <c r="G311" s="8" t="s">
        <v>1021</v>
      </c>
      <c r="H311" s="7" t="s">
        <v>1022</v>
      </c>
      <c r="I311" s="7" t="str">
        <f t="shared" si="27"/>
        <v>机械结构设计师（学历：硕士 专业要求：无）</v>
      </c>
      <c r="J311" s="7">
        <f t="shared" si="25"/>
        <v>167</v>
      </c>
      <c r="K311" s="7">
        <f>_xlfn.XLOOKUP(A311,长度要求!A:A,长度要求!E:E)</f>
        <v>500</v>
      </c>
      <c r="L311" s="7" t="str">
        <f t="shared" si="26"/>
        <v>岗位职责：1、负责新产品项目/机电装备结构设计与研制；2、负责开展相关专业领域科研项目研究任职资格：1、机械电子、机械设计、机械制造及其自动化、机械工程等相关专业；2、具有扎实的结构设计相关专业知识，专业方向为结构设计、仿真等。3、熟悉PRO-E、UG、SolidWorks等设计软件。4、熟悉相关设计规范，具有装备产品设计经验优先。</v>
      </c>
      <c r="N311" s="7">
        <f t="shared" si="28"/>
        <v>0</v>
      </c>
      <c r="O311" s="7">
        <f t="shared" si="29"/>
        <v>0</v>
      </c>
    </row>
    <row r="312" spans="1:15">
      <c r="A312" s="7">
        <f t="shared" si="24"/>
        <v>1</v>
      </c>
      <c r="B312" s="7" t="s">
        <v>1023</v>
      </c>
      <c r="C312" s="8" t="s">
        <v>1024</v>
      </c>
      <c r="D312" s="7" t="s">
        <v>1025</v>
      </c>
      <c r="E312" s="7">
        <v>20</v>
      </c>
      <c r="F312" s="7" t="s">
        <v>641</v>
      </c>
      <c r="G312" s="8" t="s">
        <v>1026</v>
      </c>
      <c r="H312" s="7" t="s">
        <v>1027</v>
      </c>
      <c r="I312" s="7" t="str">
        <f t="shared" si="27"/>
        <v>航天控制工程师（学历：博士 专业要求：探测制导与控制技术,控制科学与工程,控制工程,导航、制导与控制,控制理论与控制工程,飞行器控制与信息工程）</v>
      </c>
      <c r="J312" s="7">
        <f t="shared" si="25"/>
        <v>187</v>
      </c>
      <c r="K312" s="7">
        <f>_xlfn.XLOOKUP(A312,长度要求!A:A,长度要求!E:E)</f>
        <v>500</v>
      </c>
      <c r="L312" s="7" t="str">
        <f t="shared" si="26"/>
        <v>职责描述：负责航天产品的导航、制导、控制的算法或软件开发负责控制系统研发，动力学建模等工作任职要求：1.控制科学与工程一级学科相关专业及方向2.有飞行力学、飞行动力学、自动控制原理、现代控制理论基础3.具有卫星、导弹、飞机姿态控制系统研发相关经历者优先，熟练运用Matlab等专业分析软件4.承担过姿态控制相关项目负责人或具有伺服单机设计经验者优先5.有航天、航空背景者优先</v>
      </c>
      <c r="M312" s="7" t="s">
        <v>1028</v>
      </c>
      <c r="N312" s="7">
        <f t="shared" si="28"/>
        <v>52</v>
      </c>
      <c r="O312" s="7">
        <f t="shared" si="29"/>
        <v>6</v>
      </c>
    </row>
    <row r="313" spans="1:15">
      <c r="A313" s="7">
        <f t="shared" si="24"/>
        <v>8</v>
      </c>
      <c r="B313" s="7" t="s">
        <v>450</v>
      </c>
      <c r="C313" s="8" t="s">
        <v>451</v>
      </c>
      <c r="D313" s="7" t="s">
        <v>1029</v>
      </c>
      <c r="E313" s="7">
        <v>3</v>
      </c>
      <c r="F313" s="7" t="s">
        <v>425</v>
      </c>
      <c r="G313" s="8" t="s">
        <v>1030</v>
      </c>
      <c r="H313" s="7" t="s">
        <v>1022</v>
      </c>
      <c r="I313" s="7" t="str">
        <f t="shared" si="27"/>
        <v>总体装配工艺师（学历：硕士 专业要求：无）</v>
      </c>
      <c r="J313" s="7">
        <f t="shared" si="25"/>
        <v>278</v>
      </c>
      <c r="K313" s="7">
        <f>_xlfn.XLOOKUP(A313,长度要求!A:A,长度要求!E:E)</f>
        <v>500</v>
      </c>
      <c r="L313" s="7" t="str">
        <f t="shared" si="26"/>
        <v>岗位职责：1、负责总体装配技术领域专业研发及具体项目的实施；2、负责产品总装工艺文件、工艺方案等各类相关的技术文件编制及相关图纸工艺性审查；3、负责总装现场的技术服务以及与总装相关的工装设计；4、负责组织并进行工艺技术攻关，解决总装生产过程中的各类技术难题；5、负责相关论文、专利等科技成果编制实施。任职资格：1、机械制造及其自动化、宇航制造工程、机械工程等相关专业；2、熟悉机械类产品加工、装配基本生产过程及工艺方法；3、熟练运用PROE、AUTOCAD、office等机械设计及办公软件；4、适应一定程度的加班和定期出差任务，能承受较高强度的岗位工作。</v>
      </c>
      <c r="N313" s="7">
        <f t="shared" si="28"/>
        <v>0</v>
      </c>
      <c r="O313" s="7">
        <f t="shared" si="29"/>
        <v>0</v>
      </c>
    </row>
    <row r="314" spans="1:15">
      <c r="A314" s="7">
        <f t="shared" si="24"/>
        <v>8</v>
      </c>
      <c r="B314" s="7" t="s">
        <v>450</v>
      </c>
      <c r="C314" s="8" t="s">
        <v>451</v>
      </c>
      <c r="D314" s="7" t="s">
        <v>1031</v>
      </c>
      <c r="E314" s="7">
        <v>3</v>
      </c>
      <c r="F314" s="7" t="s">
        <v>192</v>
      </c>
      <c r="G314" s="8" t="s">
        <v>1032</v>
      </c>
      <c r="H314" s="7" t="s">
        <v>1033</v>
      </c>
      <c r="I314" s="7" t="str">
        <f t="shared" si="27"/>
        <v>机械加工工艺师（学历：本科 专业要求：无）</v>
      </c>
      <c r="J314" s="7">
        <f t="shared" si="25"/>
        <v>242</v>
      </c>
      <c r="K314" s="7">
        <f>_xlfn.XLOOKUP(A314,长度要求!A:A,长度要求!E:E)</f>
        <v>500</v>
      </c>
      <c r="L314" s="7" t="str">
        <f t="shared" si="26"/>
        <v>岗位职责：1、负责机械加工技术领域专业研发及具体项目的实施；2、负责型号产品机械加工设计工艺性审查；3、负责本专业工艺文件与各类技术文件编制，提供现场技术服务；4、负责组织并进行工艺技术攻关和技术改造，解决生产过程中的各类技术难题。5、负责相关论文、专利等科技成果编制实施。任职资格：1、机械制造及其自动化、航空宇航制造工程、机械工程等相关专业；2、具有机加工工艺研究相关的项目经历；3、具有独立负责开展机械加工技术开发的能力：4、熟练使用UG、PRO-E、AutoCAD等相关软件；</v>
      </c>
      <c r="N314" s="7">
        <f t="shared" si="28"/>
        <v>0</v>
      </c>
      <c r="O314" s="7">
        <f t="shared" si="29"/>
        <v>0</v>
      </c>
    </row>
    <row r="315" spans="1:15">
      <c r="A315" s="7">
        <f t="shared" si="24"/>
        <v>7</v>
      </c>
      <c r="B315" s="7" t="s">
        <v>647</v>
      </c>
      <c r="C315" s="8" t="s">
        <v>648</v>
      </c>
      <c r="D315" s="7" t="s">
        <v>636</v>
      </c>
      <c r="E315" s="7">
        <v>2</v>
      </c>
      <c r="F315" s="7" t="s">
        <v>192</v>
      </c>
      <c r="G315" s="8" t="s">
        <v>1034</v>
      </c>
      <c r="H315" s="7" t="s">
        <v>316</v>
      </c>
      <c r="I315" s="7" t="str">
        <f t="shared" si="27"/>
        <v>外贸专员（学历：本科 专业要求：无）</v>
      </c>
      <c r="J315" s="7">
        <f t="shared" si="25"/>
        <v>299</v>
      </c>
      <c r="K315" s="7">
        <f>_xlfn.XLOOKUP(A315,长度要求!A:A,长度要求!E:E)</f>
        <v>500</v>
      </c>
      <c r="L315" s="7" t="str">
        <f t="shared" si="26"/>
        <v>岗位职责：1，通过各类电商平台、渠道等获取更多询盘；2，客户资料的整理，做到高效有序的开发维护；3，外贸订单中产品规格，价格，合同条款等的磋商与签订；4，订单签订后，生产过程中、发货后和客户反馈的问题及时沟通解决；5，熟悉外贸业务流程及各个环节，了解外贸合同签订注意事项与外贸风险管控方法，做到及时通知、催促客户应收货款，确保安全汇缴。任职要求：1，本科及以上学历。2，英语CET6及以上，具有良好的外语听、说、读、写能力，能与外籍客户无障碍沟通，独立完成客户的开发和维护。3，性格开朗，有团队合作精神，具有较强的人际沟通协调能力和应变能力，有责任心。4，工作效率高，做事情有条理，较强的抗压能力。</v>
      </c>
      <c r="N315" s="7">
        <f t="shared" si="28"/>
        <v>0</v>
      </c>
      <c r="O315" s="7">
        <f t="shared" si="29"/>
        <v>0</v>
      </c>
    </row>
    <row r="316" spans="1:15">
      <c r="A316" s="7">
        <f t="shared" si="24"/>
        <v>2</v>
      </c>
      <c r="B316" s="7" t="s">
        <v>1035</v>
      </c>
      <c r="C316" s="8" t="s">
        <v>1036</v>
      </c>
      <c r="D316" s="7" t="s">
        <v>1037</v>
      </c>
      <c r="E316" s="7">
        <v>3</v>
      </c>
      <c r="F316" s="7" t="s">
        <v>192</v>
      </c>
      <c r="G316" s="8" t="s">
        <v>1038</v>
      </c>
      <c r="H316" s="7" t="s">
        <v>588</v>
      </c>
      <c r="I316" s="7" t="str">
        <f t="shared" si="27"/>
        <v>化学电源工程师（学历：本科 专业要求：化学,材料科学与工程）</v>
      </c>
      <c r="J316" s="7">
        <f t="shared" si="25"/>
        <v>126</v>
      </c>
      <c r="K316" s="7">
        <f>_xlfn.XLOOKUP(A316,长度要求!A:A,长度要求!E:E)</f>
        <v>500</v>
      </c>
      <c r="L316" s="7" t="str">
        <f t="shared" si="26"/>
        <v>1、要求，电化学、应用化学、材料科学与工程等专业优先考虑；2、熟悉锂电池电化学原理、锂电池性能测试；3、熟悉锂离子电池国内外技术现状；4、具备基本的英语读、写、听、说能力；5、做事认真、态度诚恳、团队协作能力强；6、热爱航天事业、责任感强、能吃苦耐劳；</v>
      </c>
      <c r="M316" s="7" t="s">
        <v>1039</v>
      </c>
      <c r="N316" s="7">
        <f t="shared" si="28"/>
        <v>10</v>
      </c>
      <c r="O316" s="7">
        <f t="shared" si="29"/>
        <v>2</v>
      </c>
    </row>
    <row r="317" spans="1:15">
      <c r="A317" s="7">
        <f t="shared" si="24"/>
        <v>2</v>
      </c>
      <c r="B317" s="7" t="s">
        <v>1035</v>
      </c>
      <c r="C317" s="8" t="s">
        <v>1036</v>
      </c>
      <c r="D317" s="7" t="s">
        <v>1040</v>
      </c>
      <c r="E317" s="7">
        <v>5</v>
      </c>
      <c r="F317" s="7" t="s">
        <v>192</v>
      </c>
      <c r="G317" s="8" t="s">
        <v>1041</v>
      </c>
      <c r="H317" s="7" t="s">
        <v>588</v>
      </c>
      <c r="I317" s="7" t="str">
        <f t="shared" si="27"/>
        <v>设备工程师（学历：本科 专业要求：机械制造及其自动化,电气类）</v>
      </c>
      <c r="J317" s="7">
        <f t="shared" si="25"/>
        <v>221</v>
      </c>
      <c r="K317" s="7">
        <f>_xlfn.XLOOKUP(A317,长度要求!A:A,长度要求!E:E)</f>
        <v>500</v>
      </c>
      <c r="L317" s="7" t="str">
        <f t="shared" si="26"/>
        <v>1、本科学历，机电一体化、电气工程等相关专业；2、3年以上锂电池生产制造自动化设备维护工作经验；3、熟悉工程机械、电气构造原理，有一定工程机械故障处理经验、机械设计和机械维护经验，熟知设备保养、维修流程及规范和标准；4、能够指导工程机械设备进行维修维护及故障排除；5、熟练使用CAD和其他现代化办公设备和软件（如Word,Excel等）；6、对工作有很强的责任心，做事积极主动、认真踏实，注重工作质量和效率；7、团队合作精神，良好的沟通能力。</v>
      </c>
      <c r="M317" s="7" t="s">
        <v>1042</v>
      </c>
      <c r="N317" s="7">
        <f t="shared" si="28"/>
        <v>13</v>
      </c>
      <c r="O317" s="7">
        <f t="shared" si="29"/>
        <v>2</v>
      </c>
    </row>
    <row r="318" spans="1:15">
      <c r="A318" s="7">
        <f t="shared" si="24"/>
        <v>3</v>
      </c>
      <c r="B318" s="7" t="s">
        <v>811</v>
      </c>
      <c r="C318" s="8" t="s">
        <v>812</v>
      </c>
      <c r="D318" s="7" t="s">
        <v>1043</v>
      </c>
      <c r="E318" s="7">
        <v>4</v>
      </c>
      <c r="F318" s="7" t="s">
        <v>18</v>
      </c>
      <c r="G318" s="8" t="s">
        <v>1044</v>
      </c>
      <c r="H318" s="7" t="s">
        <v>176</v>
      </c>
      <c r="I318" s="7" t="str">
        <f t="shared" si="27"/>
        <v>货代销售（学历：大专 专业要求：无）</v>
      </c>
      <c r="J318" s="7">
        <f t="shared" si="25"/>
        <v>237</v>
      </c>
      <c r="K318" s="7">
        <f>_xlfn.XLOOKUP(A318,长度要求!A:A,长度要求!E:E)</f>
        <v>500</v>
      </c>
      <c r="L318" s="7" t="str">
        <f t="shared" si="26"/>
        <v>工作职责：1.主要负责国内市场开发，完成个人业绩；2.基于公司管理系统，为客户提供配箱、绑扎和运输方案；3.陪同客户到工厂、仓库、码头等现场协调装柜/装船，审查装柜/装船和绑扎质量；4.定期拜访客户，充分了解客户需求，手机客服反馈信息，提升公司服务品质；5.跟踪订单进展和操作环节，及时应对客户意见和订单异常情况。岗位要求1）大专以上学历，英语水平良好，熟练使用办公软件；2）具备责任心及抗打击能力，拥有良好的沟通、组织协调能力，注重团队合作精神；3）能适应长途/短途出差。</v>
      </c>
      <c r="N318" s="7">
        <f t="shared" si="28"/>
        <v>0</v>
      </c>
      <c r="O318" s="7">
        <f t="shared" si="29"/>
        <v>0</v>
      </c>
    </row>
    <row r="319" spans="1:15">
      <c r="A319" s="7">
        <f t="shared" si="24"/>
        <v>1</v>
      </c>
      <c r="B319" s="7" t="s">
        <v>1045</v>
      </c>
      <c r="C319" s="8" t="s">
        <v>1046</v>
      </c>
      <c r="D319" s="7" t="s">
        <v>1047</v>
      </c>
      <c r="E319" s="7">
        <v>5</v>
      </c>
      <c r="F319" s="7" t="s">
        <v>18</v>
      </c>
      <c r="G319" s="8" t="s">
        <v>1048</v>
      </c>
      <c r="H319" s="7" t="s">
        <v>280</v>
      </c>
      <c r="I319" s="7" t="str">
        <f t="shared" si="27"/>
        <v>助理调试工程师（学历：大专 专业要求：无）</v>
      </c>
      <c r="J319" s="7">
        <f t="shared" si="25"/>
        <v>149</v>
      </c>
      <c r="K319" s="7">
        <f>_xlfn.XLOOKUP(A319,长度要求!A:A,长度要求!E:E)</f>
        <v>500</v>
      </c>
      <c r="L319" s="7" t="str">
        <f t="shared" si="26"/>
        <v>助理调试工程师1、岗位工作内容：（1）、学习楼宇自控、能源管理、智能照明等绿色建筑系统施工设计、现场指导、调试知识（2）、掌握楼宇自控系统软硬件操作、调试和现场问题解决能力2、岗位任职要求：（1）、大专及以上学历，自动化、信息工程、电子工程等工科专业（2）、有学习能力，已能够熟练CAD制图者优先。</v>
      </c>
      <c r="N319" s="7">
        <f t="shared" si="28"/>
        <v>0</v>
      </c>
      <c r="O319" s="7">
        <f t="shared" si="29"/>
        <v>0</v>
      </c>
    </row>
    <row r="320" spans="1:15">
      <c r="A320" s="7">
        <f t="shared" si="24"/>
        <v>2</v>
      </c>
      <c r="B320" s="7" t="s">
        <v>687</v>
      </c>
      <c r="C320" s="8" t="s">
        <v>688</v>
      </c>
      <c r="D320" s="7" t="s">
        <v>168</v>
      </c>
      <c r="E320" s="7">
        <v>10</v>
      </c>
      <c r="F320" s="7" t="s">
        <v>18</v>
      </c>
      <c r="G320" s="8" t="s">
        <v>1049</v>
      </c>
      <c r="H320" s="7" t="s">
        <v>280</v>
      </c>
      <c r="I320" s="7" t="str">
        <f t="shared" si="27"/>
        <v>质量检验员（学历：大专 专业要求：无）</v>
      </c>
      <c r="J320" s="7">
        <f t="shared" si="25"/>
        <v>332</v>
      </c>
      <c r="K320" s="7">
        <f>_xlfn.XLOOKUP(A320,长度要求!A:A,长度要求!E:E)</f>
        <v>500</v>
      </c>
      <c r="L320" s="7" t="str">
        <f t="shared" si="26"/>
        <v>岗位职责1、按照规定的作业要求，独立完成工业部的检验、认证及技术咨询、工程监理部工程监理、无损探伤等相关工作等服务要求；2、代表客户在项目现场对设计、采购、施工、调试、验收、工程质量、进度、造价、安全、风险进行管理；在工程现场协调推进各相关方的工作，并及时向业主汇报；3、按照法规要求和当地行政管理部门配合，准备相应地工程资料文件编制和提交；4、对客户的质量管理体系能够进行检查、分析和审核，并提出相应提升对策；5、在完成指定的规定任务后按时记录工作发现，并按要求即时书面汇报工作给上级和客户。任职资格1、大专及以上学历，电力、设备、机械、无损、测控、仪器、石化类专业毕业；2、对质量检测行业感兴趣；3、有一定的电脑操作及报告编制能力；4、可以接受在施工现场工作。</v>
      </c>
      <c r="N320" s="7">
        <f t="shared" si="28"/>
        <v>0</v>
      </c>
      <c r="O320" s="7">
        <f t="shared" si="29"/>
        <v>0</v>
      </c>
    </row>
    <row r="321" spans="1:15">
      <c r="A321" s="7">
        <f t="shared" si="24"/>
        <v>3</v>
      </c>
      <c r="B321" s="7" t="s">
        <v>1010</v>
      </c>
      <c r="C321" s="8" t="s">
        <v>1011</v>
      </c>
      <c r="D321" s="7" t="s">
        <v>1050</v>
      </c>
      <c r="E321" s="7">
        <v>1</v>
      </c>
      <c r="F321" s="7" t="s">
        <v>425</v>
      </c>
      <c r="G321" s="8" t="s">
        <v>1051</v>
      </c>
      <c r="H321" s="7" t="s">
        <v>1052</v>
      </c>
      <c r="I321" s="7" t="str">
        <f t="shared" si="27"/>
        <v>专业工程师（控制、力学、热控、结构、数字化）（学历：硕士 专业要求：机械类,控制科学与工程,动力工程及工程热物理,工程力学）</v>
      </c>
      <c r="J321" s="7">
        <f t="shared" si="25"/>
        <v>279</v>
      </c>
      <c r="K321" s="7">
        <f>_xlfn.XLOOKUP(A321,长度要求!A:A,长度要求!E:E)</f>
        <v>500</v>
      </c>
      <c r="L321" s="7" t="str">
        <f t="shared" si="26"/>
        <v>岗位职责：1、负责跟踪卫星研制领域结构机构、控制系统、热控设计、热试验、先进装备、生产线等技术工作；2、开展包装箱、两轴转台等大型非标装备专业技术研究，大型装备技术方案的编制、论证、投产工作；3、负责生产线建设规划、论证、课题申报、具体建设工作；4、负责生产线技术体系构建和攻关、工艺设备技术体系构建、对外配套服务及技术支持。任职要求：1、机械类、工程热物理类、控制类、力学，智能制造相关专业；2、有相关专业领域工程项目研制经验者优先；3、熟练掌握AutoCAD、Pro/E、ADAMS、ANSYS等绘图、仿真、计算软件；4、具有较强的组织、表达、写作能力。</v>
      </c>
      <c r="M321" s="7" t="s">
        <v>1053</v>
      </c>
      <c r="N321" s="7">
        <f t="shared" si="28"/>
        <v>27</v>
      </c>
      <c r="O321" s="7">
        <f t="shared" si="29"/>
        <v>4</v>
      </c>
    </row>
    <row r="322" spans="1:15">
      <c r="A322" s="7">
        <f t="shared" ref="A322:A363" si="30">COUNTIF(B:B,B322)</f>
        <v>7</v>
      </c>
      <c r="B322" s="7" t="s">
        <v>1054</v>
      </c>
      <c r="C322" s="8" t="s">
        <v>1055</v>
      </c>
      <c r="D322" s="7" t="s">
        <v>1056</v>
      </c>
      <c r="E322" s="7">
        <v>20</v>
      </c>
      <c r="F322" s="7" t="s">
        <v>34</v>
      </c>
      <c r="G322" s="8" t="s">
        <v>1057</v>
      </c>
      <c r="H322" s="7" t="s">
        <v>280</v>
      </c>
      <c r="I322" s="7" t="str">
        <f t="shared" si="27"/>
        <v>数控操作工/钳工/质量检验/现场检修/电厂技术服务/行车司机/起重工（学历：中专/技校 专业要求：无）</v>
      </c>
      <c r="J322" s="7">
        <f t="shared" ref="J322:J363" si="31">LEN(G322)</f>
        <v>236</v>
      </c>
      <c r="K322" s="7">
        <f>_xlfn.XLOOKUP(A322,长度要求!A:A,长度要求!E:E)</f>
        <v>500</v>
      </c>
      <c r="L322" s="7" t="str">
        <f t="shared" ref="L322:L363" si="32">IF(J322&lt;K322,G322,LEFT(G322,K322)&amp;"……")</f>
        <v>【用人态度】给想干事的人以机会，给能干事的人以舞台，给干成事的人以激励。【职业发展】学徒工-技能工-技能高手-技能专家-上汽工匠（配套的培训及激励措施）。【数控操作工】机电类\机械类\数控类\汽车类相关专业【钳工】机电类\电气类\钳工类\装配等相关专业【质量检验】机电类\机械类\装配等相关专业【现场检修】机电类\电气类\钳工类\装配等相关专业【电厂技术服务】机电类\电气类\钳工类\装配等相关专业【行车司机、起重工】不限专业（安排参加职业培训）具有中级以上技能等级者优先</v>
      </c>
      <c r="N322" s="7">
        <f t="shared" si="28"/>
        <v>0</v>
      </c>
      <c r="O322" s="7">
        <f t="shared" si="29"/>
        <v>0</v>
      </c>
    </row>
    <row r="323" spans="1:15">
      <c r="A323" s="7">
        <f t="shared" si="30"/>
        <v>2</v>
      </c>
      <c r="B323" s="7" t="s">
        <v>282</v>
      </c>
      <c r="C323" s="8" t="s">
        <v>283</v>
      </c>
      <c r="D323" s="7" t="s">
        <v>1058</v>
      </c>
      <c r="E323" s="7">
        <v>10</v>
      </c>
      <c r="F323" s="7" t="s">
        <v>192</v>
      </c>
      <c r="G323" s="8" t="s">
        <v>1059</v>
      </c>
      <c r="H323" s="7" t="s">
        <v>1018</v>
      </c>
      <c r="I323" s="7" t="str">
        <f t="shared" ref="I323:I363" si="33">_xlfn.CONCAT(D323,"（学历：",F323," 专业要求：",IF(ISBLANK(M323),"无",M323),"）")</f>
        <v>急救医师（学历：本科 专业要求：临床医学）</v>
      </c>
      <c r="J323" s="7">
        <f t="shared" si="31"/>
        <v>19</v>
      </c>
      <c r="K323" s="7">
        <f>_xlfn.XLOOKUP(A323,长度要求!A:A,长度要求!E:E)</f>
        <v>500</v>
      </c>
      <c r="L323" s="7" t="str">
        <f t="shared" si="32"/>
        <v>院前急救、危急重病症初步诊治与抢救护理</v>
      </c>
      <c r="M323" s="7" t="s">
        <v>1060</v>
      </c>
      <c r="N323" s="7">
        <f t="shared" ref="N323:N363" si="34">LEN(M323)</f>
        <v>4</v>
      </c>
      <c r="O323" s="7">
        <f t="shared" ref="O323:O363" si="35">IF(ISBLANK(M323),0,COUNTA(_xlfn.TEXTSPLIT(M323,",")))</f>
        <v>1</v>
      </c>
    </row>
    <row r="324" spans="1:15">
      <c r="A324" s="7">
        <f t="shared" si="30"/>
        <v>8</v>
      </c>
      <c r="B324" s="7" t="s">
        <v>795</v>
      </c>
      <c r="C324" s="8" t="s">
        <v>796</v>
      </c>
      <c r="D324" s="7" t="s">
        <v>341</v>
      </c>
      <c r="E324" s="7">
        <v>15</v>
      </c>
      <c r="F324" s="7" t="s">
        <v>192</v>
      </c>
      <c r="G324" s="8" t="s">
        <v>1061</v>
      </c>
      <c r="H324" s="7" t="s">
        <v>217</v>
      </c>
      <c r="I324" s="7" t="str">
        <f t="shared" si="33"/>
        <v>技术管培生（学历：本科 专业要求：无）</v>
      </c>
      <c r="J324" s="7">
        <f t="shared" si="31"/>
        <v>140</v>
      </c>
      <c r="K324" s="7">
        <f>_xlfn.XLOOKUP(A324,长度要求!A:A,长度要求!E:E)</f>
        <v>500</v>
      </c>
      <c r="L324" s="7" t="str">
        <f t="shared" si="32"/>
        <v>1.学习设备维护；2.学习生产运营；3.学习质量管理；4.学习工艺开发。❗️机械、电气、自动化、计算机、财务、英语等相关专业❗️朝汽车零部件设计/生产运营方向发展❗️培养计划：生产主管、工艺工程师、设备工程师，质量工程师，董事长助理，成本会计等岗位，录用的管培生有明确的培养规划。</v>
      </c>
      <c r="N324" s="7">
        <f t="shared" si="34"/>
        <v>0</v>
      </c>
      <c r="O324" s="7">
        <f t="shared" si="35"/>
        <v>0</v>
      </c>
    </row>
    <row r="325" spans="1:15">
      <c r="A325" s="7">
        <f t="shared" si="30"/>
        <v>3</v>
      </c>
      <c r="B325" s="7" t="s">
        <v>441</v>
      </c>
      <c r="C325" s="8" t="s">
        <v>442</v>
      </c>
      <c r="D325" s="7" t="s">
        <v>1062</v>
      </c>
      <c r="E325" s="7">
        <v>20</v>
      </c>
      <c r="F325" s="7" t="s">
        <v>192</v>
      </c>
      <c r="G325" s="8" t="s">
        <v>1063</v>
      </c>
      <c r="H325" s="7" t="s">
        <v>731</v>
      </c>
      <c r="I325" s="7" t="str">
        <f t="shared" si="33"/>
        <v>工艺工程师（学历：本科 专业要求：无）</v>
      </c>
      <c r="J325" s="7">
        <f t="shared" si="31"/>
        <v>988</v>
      </c>
      <c r="K325" s="7">
        <f>_xlfn.XLOOKUP(A325,长度要求!A:A,长度要求!E:E)</f>
        <v>500</v>
      </c>
      <c r="L325" s="7" t="str">
        <f t="shared" si="32"/>
        <v>类别岗位名称相关专业学历招聘区域厦门上海浦东上海浦西武汉G6武汉G4.5深圳成都研发(650)电子设计电子信息、电子科学与技术、信息与通信工程、物理、光学等本科/硕士/博士√√√√√√　阵列设计电子信息、材料、物理、自动化、微电子本科/硕士/博士√√√√电路设计物理、电子信息、材料、自动化、微电子本科/硕士/博士√√√√结构设计机械、自动化、力学、材料、仪器、航空航天等理工类本科/硕士/博士√√√√√√　光学设计材料、化学、光学、物理、电子信息、微电子等本科/硕士/博士√√√√√√　传感器开发岗电子科学与技术、微电子、物理学、电子信息（集成电路设计与集成系统/柔性电子学等）硕士　√　　　　　材料开发岗材料、光学、物理、显示器件、高分子、有机化学等相关专业本科/硕士/博士√√√器件开发岗物理、材料科学、光学、微电子、电子科学与技术等相关专业本科/硕士/博士√√√项目管理物理、电子、机械、材料、化学、自动化、管理类、语言类本科/硕士√√√√√√　工艺(1550)工艺技术岗自动化、材料、化学、机械、仪器、力学等理工类本科/硕士√√√√√√√CIM岗计算机、信息管理、自动化、电子信息等本科/硕……</v>
      </c>
      <c r="N325" s="7">
        <f t="shared" si="34"/>
        <v>0</v>
      </c>
      <c r="O325" s="7">
        <f t="shared" si="35"/>
        <v>0</v>
      </c>
    </row>
    <row r="326" spans="1:15">
      <c r="A326" s="7">
        <f t="shared" si="30"/>
        <v>3</v>
      </c>
      <c r="B326" s="7" t="s">
        <v>441</v>
      </c>
      <c r="C326" s="8" t="s">
        <v>442</v>
      </c>
      <c r="D326" s="7" t="s">
        <v>1062</v>
      </c>
      <c r="E326" s="7">
        <v>50</v>
      </c>
      <c r="F326" s="7" t="s">
        <v>192</v>
      </c>
      <c r="G326" s="8" t="s">
        <v>1064</v>
      </c>
      <c r="H326" s="7" t="s">
        <v>731</v>
      </c>
      <c r="I326" s="7" t="str">
        <f t="shared" si="33"/>
        <v>工艺工程师（学历：本科 专业要求：无）</v>
      </c>
      <c r="J326" s="7">
        <f t="shared" si="31"/>
        <v>114</v>
      </c>
      <c r="K326" s="7">
        <f>_xlfn.XLOOKUP(A326,长度要求!A:A,长度要求!E:E)</f>
        <v>500</v>
      </c>
      <c r="L326" s="7" t="str">
        <f t="shared" si="32"/>
        <v>自动化、材料、化学、机械、计算机、信息管理、自动化、电子信息等计算机、机械、自动化、电子信息、工业工程等自动化、机械、材料、仪器、电气等理工类材料、化学、仪器、光电、机械等理工类本科环安岗安全工程、化工、消防、电气、机械等理工类</v>
      </c>
      <c r="N326" s="7">
        <f t="shared" si="34"/>
        <v>0</v>
      </c>
      <c r="O326" s="7">
        <f t="shared" si="35"/>
        <v>0</v>
      </c>
    </row>
    <row r="327" spans="1:15">
      <c r="A327" s="7">
        <f t="shared" si="30"/>
        <v>7</v>
      </c>
      <c r="B327" s="7" t="s">
        <v>1054</v>
      </c>
      <c r="C327" s="8" t="s">
        <v>1055</v>
      </c>
      <c r="D327" s="7" t="s">
        <v>1065</v>
      </c>
      <c r="E327" s="7">
        <v>2</v>
      </c>
      <c r="F327" s="7" t="s">
        <v>192</v>
      </c>
      <c r="G327" s="8" t="s">
        <v>1066</v>
      </c>
      <c r="H327" s="7" t="s">
        <v>412</v>
      </c>
      <c r="I327" s="7" t="str">
        <f t="shared" si="33"/>
        <v>数字算法工程师（学历：本科 专业要求：机械设计制造及其自动化,电气工程及其自动化,自动化,机械工程,机械电子工程,机械制造及其自动化,动力机械及工程,流体机械及工程,计算机科学与技术,数学类）</v>
      </c>
      <c r="J327" s="7">
        <f t="shared" si="31"/>
        <v>211</v>
      </c>
      <c r="K327" s="7">
        <f>_xlfn.XLOOKUP(A327,长度要求!A:A,长度要求!E:E)</f>
        <v>500</v>
      </c>
      <c r="L327" s="7" t="str">
        <f t="shared" si="32"/>
        <v>数字算法工程师：1.将专业知识、标准、规范、数据等转化为算法定义文档或算法功能模块。2.理解工业数字化项目或产品需求，构建知识规则、机理模型或数据算法模型并以此提出解决策略，完成算法功能设计、实现和功能测试，对接开发人员并配合联调。3.对工业产品的全生命周期的数据管理，规范业务端数据属性和流程，通过数据治理、挖掘、分析、可视化等手段实现支持设计、生产、运营能力的监管、优化、诊断等需求。4.强算法类产品的调研、定义和研发</v>
      </c>
      <c r="M327" s="7" t="s">
        <v>1067</v>
      </c>
      <c r="N327" s="7">
        <f t="shared" si="34"/>
        <v>76</v>
      </c>
      <c r="O327" s="7">
        <f t="shared" si="35"/>
        <v>10</v>
      </c>
    </row>
    <row r="328" spans="1:15">
      <c r="A328" s="7">
        <f t="shared" si="30"/>
        <v>7</v>
      </c>
      <c r="B328" s="7" t="s">
        <v>1054</v>
      </c>
      <c r="C328" s="8" t="s">
        <v>1055</v>
      </c>
      <c r="D328" s="7" t="s">
        <v>1068</v>
      </c>
      <c r="E328" s="7">
        <v>5</v>
      </c>
      <c r="F328" s="7" t="s">
        <v>192</v>
      </c>
      <c r="G328" s="8" t="s">
        <v>1069</v>
      </c>
      <c r="H328" s="7" t="s">
        <v>412</v>
      </c>
      <c r="I328" s="7" t="str">
        <f t="shared" si="33"/>
        <v>工业燃机研发工程师（学历：本科 专业要求：机械,机械类,机械设计制造类,能源动力类,能源动力,航空航天工程,航空航天类,飞行器设计与工程,飞行器制造工程,飞行器动力工程）</v>
      </c>
      <c r="J328" s="7">
        <f t="shared" si="31"/>
        <v>158</v>
      </c>
      <c r="K328" s="7">
        <f>_xlfn.XLOOKUP(A328,长度要求!A:A,长度要求!E:E)</f>
        <v>500</v>
      </c>
      <c r="L328" s="7" t="str">
        <f t="shared" si="32"/>
        <v>工业燃机研发工程师：1.燃气轮机材料（包括高温合金、陶瓷基复合材料、热障涂层等）开发及性能分析2.燃烧流场计算分析、热声计算分析3.燃气轮机二次空气系统流路设计、分析，燃机密封部件设计和性能分析，机组热载荷分析及转子轴向推力设计分析4.机组总体热力方案设计、整机性能匹配分析，机组稳态热力分析、动态仿真模型开发及分析</v>
      </c>
      <c r="M328" s="7" t="s">
        <v>1070</v>
      </c>
      <c r="N328" s="7">
        <f t="shared" si="34"/>
        <v>63</v>
      </c>
      <c r="O328" s="7">
        <f t="shared" si="35"/>
        <v>10</v>
      </c>
    </row>
    <row r="329" spans="1:15">
      <c r="A329" s="7">
        <f t="shared" si="30"/>
        <v>7</v>
      </c>
      <c r="B329" s="7" t="s">
        <v>1054</v>
      </c>
      <c r="C329" s="8" t="s">
        <v>1055</v>
      </c>
      <c r="D329" s="7" t="s">
        <v>1071</v>
      </c>
      <c r="E329" s="7">
        <v>5</v>
      </c>
      <c r="F329" s="7" t="s">
        <v>192</v>
      </c>
      <c r="G329" s="8" t="s">
        <v>1072</v>
      </c>
      <c r="H329" s="7" t="s">
        <v>412</v>
      </c>
      <c r="I329" s="7" t="str">
        <f t="shared" si="33"/>
        <v>科研设计员（学历：本科 专业要求：工程力学,机械工程,机械电子工程,固体力学,机械制造及其自动化,机械设计及理论,力学,机械,能源动力,航天动力工程）</v>
      </c>
      <c r="J329" s="7">
        <f t="shared" si="31"/>
        <v>93</v>
      </c>
      <c r="K329" s="7">
        <f>_xlfn.XLOOKUP(A329,长度要求!A:A,长度要求!E:E)</f>
        <v>500</v>
      </c>
      <c r="L329" s="7" t="str">
        <f t="shared" si="32"/>
        <v>科研设计员：1.各类汽轮机、燃气轮机本体结构方案及关键部套设计；2.各类汽轮机、燃气轮机的热力、通流设计；3.各类汽轮机、燃气轮机的系统、辅机及BOP设计；4.面向智能控制的技术方案开发</v>
      </c>
      <c r="M329" s="7" t="s">
        <v>1073</v>
      </c>
      <c r="N329" s="7">
        <f t="shared" si="34"/>
        <v>57</v>
      </c>
      <c r="O329" s="7">
        <f t="shared" si="35"/>
        <v>10</v>
      </c>
    </row>
    <row r="330" spans="1:15">
      <c r="A330" s="7">
        <f t="shared" si="30"/>
        <v>3</v>
      </c>
      <c r="B330" s="7" t="s">
        <v>977</v>
      </c>
      <c r="C330" s="8" t="s">
        <v>978</v>
      </c>
      <c r="D330" s="7" t="s">
        <v>1074</v>
      </c>
      <c r="E330" s="7">
        <v>10</v>
      </c>
      <c r="F330" s="7" t="s">
        <v>18</v>
      </c>
      <c r="G330" s="8" t="s">
        <v>1075</v>
      </c>
      <c r="H330" s="7" t="s">
        <v>385</v>
      </c>
      <c r="I330" s="7" t="str">
        <f t="shared" si="33"/>
        <v>物业项目实习生（学历：大专 专业要求：无）</v>
      </c>
      <c r="J330" s="7">
        <f t="shared" si="31"/>
        <v>177</v>
      </c>
      <c r="K330" s="7">
        <f>_xlfn.XLOOKUP(A330,长度要求!A:A,长度要求!E:E)</f>
        <v>500</v>
      </c>
      <c r="L330" s="7" t="str">
        <f t="shared" si="32"/>
        <v>岗位职责：1.负责业主日常诉求处理；2.负责小区现场品质监督；3.做好物业管理费催收工作及做好社区文化活动；4.跟进与协调处理业主相关维修问题，实时反馈，尽快予以解决；5.负责物业管理费收费通知单的发放和费用的催缴工作；6.负责收集辖区内用户资料。职位要求：1.要求形象良好，会基本的办公软件操作；2.有较好的沟通能力；3.大专以上学历，管理类相关专业。</v>
      </c>
      <c r="N330" s="7">
        <f t="shared" si="34"/>
        <v>0</v>
      </c>
      <c r="O330" s="7">
        <f t="shared" si="35"/>
        <v>0</v>
      </c>
    </row>
    <row r="331" spans="1:15">
      <c r="A331" s="7">
        <f t="shared" si="30"/>
        <v>3</v>
      </c>
      <c r="B331" s="7" t="s">
        <v>977</v>
      </c>
      <c r="C331" s="8" t="s">
        <v>978</v>
      </c>
      <c r="D331" s="7" t="s">
        <v>1076</v>
      </c>
      <c r="E331" s="7">
        <v>10</v>
      </c>
      <c r="F331" s="7" t="s">
        <v>18</v>
      </c>
      <c r="G331" s="8" t="s">
        <v>1077</v>
      </c>
      <c r="H331" s="7" t="s">
        <v>104</v>
      </c>
      <c r="I331" s="7" t="str">
        <f t="shared" si="33"/>
        <v>工程管理岗（学历：大专 专业要求：无）</v>
      </c>
      <c r="J331" s="7">
        <f t="shared" si="31"/>
        <v>32</v>
      </c>
      <c r="K331" s="7">
        <f>_xlfn.XLOOKUP(A331,长度要求!A:A,长度要求!E:E)</f>
        <v>500</v>
      </c>
      <c r="L331" s="7" t="str">
        <f t="shared" si="32"/>
        <v>大专及以上学历，熟练使用office相关软件，工程相关专业者优先</v>
      </c>
      <c r="N331" s="7">
        <f t="shared" si="34"/>
        <v>0</v>
      </c>
      <c r="O331" s="7">
        <f t="shared" si="35"/>
        <v>0</v>
      </c>
    </row>
    <row r="332" spans="1:15">
      <c r="A332" s="7">
        <f t="shared" si="30"/>
        <v>8</v>
      </c>
      <c r="B332" s="7" t="s">
        <v>795</v>
      </c>
      <c r="C332" s="8" t="s">
        <v>796</v>
      </c>
      <c r="D332" s="7" t="s">
        <v>1078</v>
      </c>
      <c r="E332" s="7">
        <v>8</v>
      </c>
      <c r="F332" s="7" t="s">
        <v>192</v>
      </c>
      <c r="G332" s="8" t="s">
        <v>1079</v>
      </c>
      <c r="H332" s="7" t="s">
        <v>205</v>
      </c>
      <c r="I332" s="7" t="str">
        <f t="shared" si="33"/>
        <v>产品工程师（学历：本科 专业要求：无）</v>
      </c>
      <c r="J332" s="7">
        <f t="shared" si="31"/>
        <v>106</v>
      </c>
      <c r="K332" s="7">
        <f>_xlfn.XLOOKUP(A332,长度要求!A:A,长度要求!E:E)</f>
        <v>500</v>
      </c>
      <c r="L332" s="7" t="str">
        <f t="shared" si="32"/>
        <v>1、负责新产品工艺开发和工艺策划，2、负责机加设备的刀具、工yy装和夹具设计，改进和优化工艺参数以提高实物质量、生产效率，降低各种生产成本和费用。岗位要求：1、全日制本科及以上学历，英语四级以上，优秀应届生优先。</v>
      </c>
      <c r="N332" s="7">
        <f t="shared" si="34"/>
        <v>0</v>
      </c>
      <c r="O332" s="7">
        <f t="shared" si="35"/>
        <v>0</v>
      </c>
    </row>
    <row r="333" spans="1:15">
      <c r="A333" s="7">
        <f t="shared" si="30"/>
        <v>8</v>
      </c>
      <c r="B333" s="7" t="s">
        <v>1080</v>
      </c>
      <c r="C333" s="8" t="s">
        <v>1081</v>
      </c>
      <c r="D333" s="7" t="s">
        <v>1082</v>
      </c>
      <c r="E333" s="7">
        <v>2</v>
      </c>
      <c r="F333" s="7" t="s">
        <v>192</v>
      </c>
      <c r="G333" s="8" t="s">
        <v>1083</v>
      </c>
      <c r="H333" s="7" t="s">
        <v>178</v>
      </c>
      <c r="I333" s="7" t="str">
        <f t="shared" si="33"/>
        <v>财务文员（学历：本科 专业要求：无）</v>
      </c>
      <c r="J333" s="7">
        <f t="shared" si="31"/>
        <v>212</v>
      </c>
      <c r="K333" s="7">
        <f>_xlfn.XLOOKUP(A333,长度要求!A:A,长度要求!E:E)</f>
        <v>500</v>
      </c>
      <c r="L333" s="7" t="str">
        <f t="shared" si="32"/>
        <v>工作职责:1.负责财务共享中心若干工厂的应收款项相关业务的审核以及入账2.定期联系跟踪逾期应收款项回款进度，编制月度科目余额调节表3.定期与客户核对发票及收款账务，反馈差异并跟踪解决4.负责配合工厂分析，总账及审计提供相关统计报表及凭证基本要求：1.学历不限，大专及以上优先，2.优先财经类专业毕业3.具备良好的沟通表达能力4.品行端正5.英语沟通能力良好或具相关工作经验的申请者优先考虑6.基本的office办公自动化能力</v>
      </c>
      <c r="N333" s="7">
        <f t="shared" si="34"/>
        <v>0</v>
      </c>
      <c r="O333" s="7">
        <f t="shared" si="35"/>
        <v>0</v>
      </c>
    </row>
    <row r="334" spans="1:15">
      <c r="A334" s="7">
        <f t="shared" si="30"/>
        <v>8</v>
      </c>
      <c r="B334" s="7" t="s">
        <v>1080</v>
      </c>
      <c r="C334" s="8" t="s">
        <v>1081</v>
      </c>
      <c r="D334" s="7" t="s">
        <v>1084</v>
      </c>
      <c r="E334" s="7">
        <v>2</v>
      </c>
      <c r="F334" s="7" t="s">
        <v>192</v>
      </c>
      <c r="G334" s="8" t="s">
        <v>1085</v>
      </c>
      <c r="H334" s="7" t="s">
        <v>178</v>
      </c>
      <c r="I334" s="7" t="str">
        <f t="shared" si="33"/>
        <v>宣传文员（学历：本科 专业要求：无）</v>
      </c>
      <c r="J334" s="7">
        <f t="shared" si="31"/>
        <v>272</v>
      </c>
      <c r="K334" s="7">
        <f>_xlfn.XLOOKUP(A334,长度要求!A:A,长度要求!E:E)</f>
        <v>500</v>
      </c>
      <c r="L334" s="7" t="str">
        <f t="shared" si="32"/>
        <v>岗位职责：1.参与企业微信号的日常运营工作。日常新闻稿的采、编，与基层宣传员的沟通，了解相关信息。2.负责企业文化工作推进，能策划、组织各类员工活动、文化活动。3.企业新闻、活动的摄影摄像，并进行视频编辑。4.能贯彻执行上级单位、本公司布置的各类工作。任职要求：1.有良好的文字功底。2.有较强的策划、组织各类型会议、企业文化活动的能力。3.有视频剪辑、绘图功底，会使用PR、PS、美图秀秀等设计软件；熟练运用办公软件。4.吃苦耐劳，执行力强，责任心强、服务意识，工作效率高；乐于沟通、乐于助人，具有积极的工作态度，有良好的团队精神和服务意识。</v>
      </c>
      <c r="N334" s="7">
        <f t="shared" si="34"/>
        <v>0</v>
      </c>
      <c r="O334" s="7">
        <f t="shared" si="35"/>
        <v>0</v>
      </c>
    </row>
    <row r="335" spans="1:15">
      <c r="A335" s="7">
        <f t="shared" si="30"/>
        <v>6</v>
      </c>
      <c r="B335" s="7" t="s">
        <v>318</v>
      </c>
      <c r="C335" s="8" t="s">
        <v>319</v>
      </c>
      <c r="D335" s="7" t="s">
        <v>1086</v>
      </c>
      <c r="E335" s="7">
        <v>2</v>
      </c>
      <c r="F335" s="7" t="s">
        <v>18</v>
      </c>
      <c r="G335" s="8" t="s">
        <v>1087</v>
      </c>
      <c r="H335" s="7" t="s">
        <v>184</v>
      </c>
      <c r="I335" s="7" t="str">
        <f t="shared" si="33"/>
        <v>安装调试员（学历：大专 专业要求：无）</v>
      </c>
      <c r="J335" s="7">
        <f t="shared" si="31"/>
        <v>299</v>
      </c>
      <c r="K335" s="7">
        <f>_xlfn.XLOOKUP(A335,长度要求!A:A,长度要求!E:E)</f>
        <v>500</v>
      </c>
      <c r="L335" s="7" t="str">
        <f t="shared" si="32"/>
        <v>安装调试员（若干）职位要求：男性，大专及以上学历，机电一体化、电气自动化（或弱电）等专业，年龄18-25周岁，沪籍优先；熟悉CAD制图软件、有一定阅读图纸能力优先；身体健康、无高血压及心脏病史，视力正常；遵纪守法，品行端正，诚实守信，严谨踏实，执行力强，善于学习（退伍军人优先）；服从公司领导的工作安排和区域调动；工作职责：负责电梯后期的安装、扶梯现场调试工作；安装工程全过程中与用户的沟通、协调、现场管理工作；确保电梯通过公司及政府部门质量检测，确保电梯安全运行。工作区域：上海市各区就近分配；岗位转型：有相关电梯类似岗位工作经验者优先考虑；从事过电梯安装维保工作者，经专项面试通过后可培养使用。</v>
      </c>
      <c r="N335" s="7">
        <f t="shared" si="34"/>
        <v>0</v>
      </c>
      <c r="O335" s="7">
        <f t="shared" si="35"/>
        <v>0</v>
      </c>
    </row>
    <row r="336" spans="1:15">
      <c r="A336" s="7">
        <f t="shared" si="30"/>
        <v>8</v>
      </c>
      <c r="B336" s="7" t="s">
        <v>1080</v>
      </c>
      <c r="C336" s="8" t="s">
        <v>1081</v>
      </c>
      <c r="D336" s="7" t="s">
        <v>1088</v>
      </c>
      <c r="E336" s="7">
        <v>40</v>
      </c>
      <c r="F336" s="7" t="s">
        <v>192</v>
      </c>
      <c r="G336" s="8" t="s">
        <v>1089</v>
      </c>
      <c r="H336" s="7" t="s">
        <v>1090</v>
      </c>
      <c r="I336" s="7" t="str">
        <f t="shared" si="33"/>
        <v>产品设计工程师（内饰/安全/座椅）（学历：本科 专业要求：无）</v>
      </c>
      <c r="J336" s="7">
        <f t="shared" si="31"/>
        <v>375</v>
      </c>
      <c r="K336" s="7">
        <f>_xlfn.XLOOKUP(A336,长度要求!A:A,长度要求!E:E)</f>
        <v>500</v>
      </c>
      <c r="L336" s="7" t="str">
        <f t="shared" si="32"/>
        <v>主要任务和职责1.根据产品投产系统（PLUS）以及客户产品开发程序的要求，按时保质地进行产品开发。2.制定和优化设计方案，选择正确.合适的零部件和材料，力求在保证功能.外观要求的情况下成本最低；掌握项目工程开发费用的使用。3.完成产品数据.图纸和材料清单（BOM）表等工程技术文件。4.协助处理客户提出的问题并参与解决。5.负责协调样品制造，客户交样和文件准备。6.组织或参与各类工程会议，并落实和跟踪行动计划。7.及时总结座椅开发过程中发生的问题和经验。8.与供应商和部门工厂联系，提供技术支持。基本条件1.2022年应届毕业生（包含海外留学生）2.全国重点院校本科及以上学历；3.CET-4或其他同等级英语能力证书，听说读写流利；4.会德语.法语.日语.韩语者优先考虑；5.成绩优秀，有奖学金者优先考虑；6.有学生会工作及社会实践经历者优先考虑。</v>
      </c>
      <c r="N336" s="7">
        <f t="shared" si="34"/>
        <v>0</v>
      </c>
      <c r="O336" s="7">
        <f t="shared" si="35"/>
        <v>0</v>
      </c>
    </row>
    <row r="337" spans="1:15">
      <c r="A337" s="7">
        <f t="shared" si="30"/>
        <v>8</v>
      </c>
      <c r="B337" s="7" t="s">
        <v>795</v>
      </c>
      <c r="C337" s="8" t="s">
        <v>796</v>
      </c>
      <c r="D337" s="7" t="s">
        <v>1091</v>
      </c>
      <c r="E337" s="7">
        <v>2</v>
      </c>
      <c r="F337" s="7" t="s">
        <v>192</v>
      </c>
      <c r="G337" s="8" t="s">
        <v>1092</v>
      </c>
      <c r="H337" s="7" t="s">
        <v>184</v>
      </c>
      <c r="I337" s="7" t="str">
        <f t="shared" si="33"/>
        <v>成本会计（学历：本科 专业要求：无）</v>
      </c>
      <c r="J337" s="7">
        <f t="shared" si="31"/>
        <v>309</v>
      </c>
      <c r="K337" s="7">
        <f>_xlfn.XLOOKUP(A337,长度要求!A:A,长度要求!E:E)</f>
        <v>500</v>
      </c>
      <c r="L337" s="7" t="str">
        <f t="shared" si="32"/>
        <v>1、组织并负责实施ERP财务模块的具体推进工作、ERP操作指导及培训，确保ERP上线成功以及日常使用正常有序；2、审核完工产品的材料出库情况，保证按照BOM及投料变更后的清单进行领料，审核成品入库及发货单据为成本核算做好各项准备工作；3、按时组织完成存货的盘点工作，并出具盘点报告，监控存货的变化，保证存货的准确性；8、对呆滞存货进行定期分析和跟踪，减少公司损失；9、发出商品、在制品、存货跌价准备等工作的展开和跟踪，及时出具相应分析和报告；10、合理、及时地核算产品的料工费成本，保证成本的准确性；11、年度审计、所得税汇算清缴、高新申报等工作协助；12、及时出具各种成本分析报表，并提出改善建议，供管理者决策需要；</v>
      </c>
      <c r="N337" s="7">
        <f t="shared" si="34"/>
        <v>0</v>
      </c>
      <c r="O337" s="7">
        <f t="shared" si="35"/>
        <v>0</v>
      </c>
    </row>
    <row r="338" spans="1:15">
      <c r="A338" s="7">
        <f t="shared" si="30"/>
        <v>8</v>
      </c>
      <c r="B338" s="7" t="s">
        <v>1080</v>
      </c>
      <c r="C338" s="8" t="s">
        <v>1081</v>
      </c>
      <c r="D338" s="7" t="s">
        <v>1093</v>
      </c>
      <c r="E338" s="7">
        <v>5</v>
      </c>
      <c r="F338" s="7" t="s">
        <v>425</v>
      </c>
      <c r="G338" s="8" t="s">
        <v>1094</v>
      </c>
      <c r="H338" s="7" t="s">
        <v>1090</v>
      </c>
      <c r="I338" s="7" t="str">
        <f t="shared" si="33"/>
        <v>CAE工程师（学历：硕士 专业要求：无）</v>
      </c>
      <c r="J338" s="7">
        <f t="shared" si="31"/>
        <v>513</v>
      </c>
      <c r="K338" s="7">
        <f>_xlfn.XLOOKUP(A338,长度要求!A:A,长度要求!E:E)</f>
        <v>500</v>
      </c>
      <c r="L338" s="7" t="str">
        <f t="shared" si="32"/>
        <v>主要任务和职责1.FEA设计分析1）对方向盘，气囊产品结构开展CAE分析及研究，了解结构和性能的关系；2）利用CAE工具，对产品（SW,AB）设计方案开展CAE分析，包括静态和动态分析；3）编写CAE分析报告，评估设计方案，提出潜在风险分析，给出改进意见；4）协助完成零件试验结果分析，负责比较CAE分析结果与试验结果的差异；2.竞争分析利用各种机会，获取市场.竞争对手等相关信息；对获得的竞争对手产品，进行详细分析，了解竞争对手的产品特点及成本，从而优化设计，相应更新本公司的产品平台，保持.提升相关产品的市场竞争力，促进业务发展和增长。3.培训利用各种机会和可获得的资源，通过自学.内训.外训.带教等相结合的手段，总结经验.教训，提高自身和其他工程人员的工程开发能力。4.参与行业的各种技术交流，宣传.展示公司在汽车被动安全系统的技术实力；基本条件1.2022年应届毕业生（包含海外留学生）2.全国重点院校本科及以上学历，CAE及机械专业类专业；熟练使用CATIA或UG，熟悉CAE分析软件；3.CET-4或其他同等级英语能力证书，听说读写流利；4.成绩优秀，有奖学金者优先考虑；5.有学生会工作……</v>
      </c>
      <c r="N338" s="7">
        <f t="shared" si="34"/>
        <v>0</v>
      </c>
      <c r="O338" s="7">
        <f t="shared" si="35"/>
        <v>0</v>
      </c>
    </row>
    <row r="339" spans="1:15">
      <c r="A339" s="7">
        <f t="shared" si="30"/>
        <v>2</v>
      </c>
      <c r="B339" s="7" t="s">
        <v>474</v>
      </c>
      <c r="C339" s="8" t="s">
        <v>475</v>
      </c>
      <c r="D339" s="7" t="s">
        <v>1095</v>
      </c>
      <c r="E339" s="7">
        <v>6</v>
      </c>
      <c r="F339" s="7" t="s">
        <v>18</v>
      </c>
      <c r="G339" s="8" t="s">
        <v>1096</v>
      </c>
      <c r="H339" s="7" t="s">
        <v>67</v>
      </c>
      <c r="I339" s="7" t="str">
        <f t="shared" si="33"/>
        <v>钳工装配岗（大专实习）（学历：大专 专业要求：无）</v>
      </c>
      <c r="J339" s="7">
        <f t="shared" si="31"/>
        <v>117</v>
      </c>
      <c r="K339" s="7">
        <f>_xlfn.XLOOKUP(A339,长度要求!A:A,长度要求!E:E)</f>
        <v>500</v>
      </c>
      <c r="L339" s="7" t="str">
        <f t="shared" si="32"/>
        <v>岗位职责：熟悉设计文件和工艺文件，检查操作设备及工量具使用状态良好，执行工艺纪律文明生产和安全生产，做好原始记录，协调处理生产过程发生的问题。工作内容：了解型号产品结构原理，完成零部件、插箱、组合、机柜、传动装置、系统结构的机械装配。</v>
      </c>
      <c r="N339" s="7">
        <f t="shared" si="34"/>
        <v>0</v>
      </c>
      <c r="O339" s="7">
        <f t="shared" si="35"/>
        <v>0</v>
      </c>
    </row>
    <row r="340" spans="1:15">
      <c r="A340" s="7">
        <f t="shared" si="30"/>
        <v>8</v>
      </c>
      <c r="B340" s="7" t="s">
        <v>1080</v>
      </c>
      <c r="C340" s="8" t="s">
        <v>1081</v>
      </c>
      <c r="D340" s="7" t="s">
        <v>711</v>
      </c>
      <c r="E340" s="7">
        <v>10</v>
      </c>
      <c r="F340" s="7" t="s">
        <v>192</v>
      </c>
      <c r="G340" s="8" t="s">
        <v>1097</v>
      </c>
      <c r="H340" s="7" t="s">
        <v>1090</v>
      </c>
      <c r="I340" s="7" t="str">
        <f t="shared" si="33"/>
        <v>机械工程师（学历：本科 专业要求：无）</v>
      </c>
      <c r="J340" s="7">
        <f t="shared" si="31"/>
        <v>350</v>
      </c>
      <c r="K340" s="7">
        <f>_xlfn.XLOOKUP(A340,长度要求!A:A,长度要求!E:E)</f>
        <v>500</v>
      </c>
      <c r="L340" s="7" t="str">
        <f t="shared" si="32"/>
        <v>主要职责：1.参与项目报价：参与可行性分析.报价数据及文件提交。2.支持产品结构设计和技术文件创建：支持结构设计和概念设计，协助项目组完成结构设计工作并按时提交。3.参与问题解决：参与项目结构问题解决，跟踪解决方案。4.参与设计和成本优化：参与结构设计优化，与客户.工厂和供应商沟通，跟踪优化方案的实施。5.支持创新技术研究：支持专利申请和创新计划提案，支持创新项目技术分析报告的输出，支持创新项目的发展。6.支持平台设计，设计指导文件。其他要求：1.2022年应届毕业生（包含海外留学生）2.本科及以上学历，结构设计.机械自动化或相关专业；3.熟练使用CATIA或UG，熟悉CAE分析软件3.良好的写作能力和文档处理能力，熟练使用Office和其他相关软件工具4.思维敏捷，有较强的洞察力和创新能力</v>
      </c>
      <c r="N340" s="7">
        <f t="shared" si="34"/>
        <v>0</v>
      </c>
      <c r="O340" s="7">
        <f t="shared" si="35"/>
        <v>0</v>
      </c>
    </row>
    <row r="341" spans="1:15">
      <c r="A341" s="7">
        <f t="shared" si="30"/>
        <v>8</v>
      </c>
      <c r="B341" s="7" t="s">
        <v>1080</v>
      </c>
      <c r="C341" s="8" t="s">
        <v>1081</v>
      </c>
      <c r="D341" s="7" t="s">
        <v>1098</v>
      </c>
      <c r="E341" s="7">
        <v>10</v>
      </c>
      <c r="F341" s="7" t="s">
        <v>192</v>
      </c>
      <c r="G341" s="8" t="s">
        <v>1099</v>
      </c>
      <c r="H341" s="7" t="s">
        <v>1090</v>
      </c>
      <c r="I341" s="7" t="str">
        <f t="shared" si="33"/>
        <v>机械设计工程师（学历：本科 专业要求：无）</v>
      </c>
      <c r="J341" s="7">
        <f t="shared" si="31"/>
        <v>447</v>
      </c>
      <c r="K341" s="7">
        <f>_xlfn.XLOOKUP(A341,长度要求!A:A,长度要求!E:E)</f>
        <v>500</v>
      </c>
      <c r="L341" s="7" t="str">
        <f t="shared" si="32"/>
        <v>工作概要：设计包括设备及生产线的机械部分，并调试设备直至交付工厂，提供良好的客户技术支持及用户反馈；1.设计装备或机械结构方案及3D细化设计2.选型计算，仿真模拟干涉及运动状态，节拍分析，重要结构及性能进行CAE分析并对计算校核3.制作设计DFMEA,组织开展内部和外部的设计评审会4.绘制流体图与工程图和制作产品BOM，输出动作逻辑图，产品中电气元器件的布置及控制要求5.图纸与采购流程发放申请6.与电气工程师技术交底，输出动作逻辑图，产品中电气元器件的布置及控制要求7.与制造工程师进行设计技术交底，现场装配技术指导，问题解答8.产品实际性能及功能，质量的检测，品试制及调试技术支持9.客户输入要求变更，以及现场问题，需要及时进行设计修改和优化岗位要求：1.2022年应届毕业生（包含海外留学生）2.全国本科及以上学历；3.CET-4或其他同等级英语能力证书，听说读写流利；4.会德语.法语.日语.韩语者优先考虑；5.成绩优秀，有奖学金者优先考虑；6.有学生会工作及社会实践经历者优先考虑。</v>
      </c>
      <c r="N341" s="7">
        <f t="shared" si="34"/>
        <v>0</v>
      </c>
      <c r="O341" s="7">
        <f t="shared" si="35"/>
        <v>0</v>
      </c>
    </row>
    <row r="342" spans="1:15">
      <c r="A342" s="7">
        <f t="shared" si="30"/>
        <v>8</v>
      </c>
      <c r="B342" s="7" t="s">
        <v>1080</v>
      </c>
      <c r="C342" s="8" t="s">
        <v>1081</v>
      </c>
      <c r="D342" s="7" t="s">
        <v>1100</v>
      </c>
      <c r="E342" s="7">
        <v>5</v>
      </c>
      <c r="F342" s="7" t="s">
        <v>18</v>
      </c>
      <c r="G342" s="8" t="s">
        <v>1101</v>
      </c>
      <c r="H342" s="7" t="s">
        <v>178</v>
      </c>
      <c r="I342" s="7" t="str">
        <f t="shared" si="33"/>
        <v>测试员（学历：大专 专业要求：无）</v>
      </c>
      <c r="J342" s="7">
        <f t="shared" si="31"/>
        <v>387</v>
      </c>
      <c r="K342" s="7">
        <f>_xlfn.XLOOKUP(A342,长度要求!A:A,长度要求!E:E)</f>
        <v>500</v>
      </c>
      <c r="L342" s="7" t="str">
        <f t="shared" si="32"/>
        <v>岗位职责：1.按时按质按量完成工作任务单指派的检测任务（包括上机操作、作业流程、完成记录等），无差错；2.按职责做好分管试验设备/器具/工装/工具的维护保养，协助测试工程师对其维护、维修、检定和调试等工作；3.掌握各测量软件的基本使用方法，能正确执行测量程序并生成原始记录。（测量）4.按照实验室体系文件的要求规定开展日常各项工作;5.按设备操作规程正确使用各种检测设备进行检测;6.负责样品的管理、记录、报告归档、样品销毁等工作；7.不断的接受和掌握岗位技能和专业技能知识原理、方法、技术的培训及考核，包括新增能力、版本更新等；8.严格按要求完成实验室区域的目视管理和维护工作；9.遵守安全方针，遵守安全管理手册、程序文件、作业指导书和其他规章制度。任职要求:1.机械设计与制造，自动化，机电一体化等相关理工科专业；2.2021/2022届大专院校应届毕业生；3.吃苦耐劳</v>
      </c>
      <c r="N342" s="7">
        <f t="shared" si="34"/>
        <v>0</v>
      </c>
      <c r="O342" s="7">
        <f t="shared" si="35"/>
        <v>0</v>
      </c>
    </row>
    <row r="343" spans="1:15">
      <c r="A343" s="7">
        <f t="shared" si="30"/>
        <v>8</v>
      </c>
      <c r="B343" s="7" t="s">
        <v>1080</v>
      </c>
      <c r="C343" s="8" t="s">
        <v>1081</v>
      </c>
      <c r="D343" s="7" t="s">
        <v>1102</v>
      </c>
      <c r="E343" s="7">
        <v>2</v>
      </c>
      <c r="F343" s="7" t="s">
        <v>192</v>
      </c>
      <c r="G343" s="8" t="s">
        <v>1103</v>
      </c>
      <c r="H343" s="7" t="s">
        <v>1090</v>
      </c>
      <c r="I343" s="7" t="str">
        <f t="shared" si="33"/>
        <v>工程助理（学历：本科 专业要求：无）</v>
      </c>
      <c r="J343" s="7">
        <f t="shared" si="31"/>
        <v>333</v>
      </c>
      <c r="K343" s="7">
        <f>_xlfn.XLOOKUP(A343,长度要求!A:A,长度要求!E:E)</f>
        <v>500</v>
      </c>
      <c r="L343" s="7" t="str">
        <f t="shared" si="32"/>
        <v>工作概要1.负责各项事务的按时完成；2.负责部门内、外支持协调管理工作主要任务和职责1.负责各项任务按时完成，跟进任务进程，对结果负责；定期进行工作梳理、总结、制作相关报告2.负责支持完成集团内各项报告的协调、数据整理和分析等工作3.对外部支持工程师流程和费用进行管理4.协助内、外各部门进行有效沟通，并协调相关资源5.其他部门日常支持工作6.承担公司相关IOS文件以及IATF16949/ISO45001/ISO14000标准要求的责任，确保IOS文件的有效运行，并不断完善IOS文件中的相关程序及其应用基本要求：1.1.2022年应届毕业生（包含海外留学生）大学本科以上学历，理工科专业方向2.具备优秀/良好的中英文书面和口头表达能力3.熟练掌握Office操作</v>
      </c>
      <c r="N343" s="7">
        <f t="shared" si="34"/>
        <v>0</v>
      </c>
      <c r="O343" s="7">
        <f t="shared" si="35"/>
        <v>0</v>
      </c>
    </row>
    <row r="344" spans="1:15">
      <c r="A344" s="7">
        <f t="shared" si="30"/>
        <v>4</v>
      </c>
      <c r="B344" s="7" t="s">
        <v>312</v>
      </c>
      <c r="C344" s="8" t="s">
        <v>313</v>
      </c>
      <c r="D344" s="7" t="s">
        <v>1104</v>
      </c>
      <c r="E344" s="7">
        <v>5</v>
      </c>
      <c r="F344" s="7" t="s">
        <v>425</v>
      </c>
      <c r="G344" s="8" t="s">
        <v>1105</v>
      </c>
      <c r="H344" s="7" t="s">
        <v>918</v>
      </c>
      <c r="I344" s="7" t="str">
        <f t="shared" si="33"/>
        <v>导航算法工程师（学历：硕士 专业要求：无）</v>
      </c>
      <c r="J344" s="7">
        <f t="shared" si="31"/>
        <v>341</v>
      </c>
      <c r="K344" s="7">
        <f>_xlfn.XLOOKUP(A344,长度要求!A:A,长度要求!E:E)</f>
        <v>500</v>
      </c>
      <c r="L344" s="7" t="str">
        <f t="shared" si="32"/>
        <v>岗位职责：1、参与ROS移动机器人相关导航算法和架构开发，设计接口2、参与SLAM和多传感融合机器人定位算法的开发3、参与运动控制、路径规划算法的开发4、编写机器人控制状态机，实现产品功能任职资格：1、计算机科学、自动化等相关专业，本科以上学历、2、熟练掌握linux下c++开发，会Python加分3、有1年以上ROS使用或者开发经验，对移动机器人或传统机械臂或自动驾驶等相关方向比较熟悉4、有扎实的计算机算法基础，有大量的编程实践经验5、熟悉机器人运动学、碰撞检测、运动规划，深入理解轨迹规划相关算法6、熟悉线性代数、卡尔曼滤波、最优化理论等相关数学知识加分7、有较强的项目落地能力和产品化思维8、无障碍英文资料阅读与沟通能力优先，能够快速查阅英文资料解决问题，快速阅读英文文档</v>
      </c>
      <c r="N344" s="7">
        <f t="shared" si="34"/>
        <v>0</v>
      </c>
      <c r="O344" s="7">
        <f t="shared" si="35"/>
        <v>0</v>
      </c>
    </row>
    <row r="345" spans="1:15">
      <c r="A345" s="7">
        <f t="shared" si="30"/>
        <v>2</v>
      </c>
      <c r="B345" s="7" t="s">
        <v>347</v>
      </c>
      <c r="C345" s="8" t="s">
        <v>348</v>
      </c>
      <c r="D345" s="7" t="s">
        <v>1106</v>
      </c>
      <c r="E345" s="7">
        <v>1</v>
      </c>
      <c r="F345" s="7" t="s">
        <v>34</v>
      </c>
      <c r="G345" s="8" t="s">
        <v>1107</v>
      </c>
      <c r="H345" s="7" t="s">
        <v>178</v>
      </c>
      <c r="I345" s="7" t="str">
        <f t="shared" si="33"/>
        <v>会务助理（学历：中专/技校 专业要求：无）</v>
      </c>
      <c r="J345" s="7">
        <f t="shared" si="31"/>
        <v>213</v>
      </c>
      <c r="K345" s="7">
        <f>_xlfn.XLOOKUP(A345,长度要求!A:A,长度要求!E:E)</f>
        <v>500</v>
      </c>
      <c r="L345" s="7" t="str">
        <f t="shared" si="32"/>
        <v>工作地址：浦东新区张江丹桂路999弄张江国创中心1期岗位职责1、负责前台接待，访客登记、快递收发等；2、负责会务保障，包括会前准备、会中续水、会后收尾工作等；3、其他相关事务性协助工作。任职资格1、中专以上学历；2、熟练使用Office办公软件及办公自动化设备，普通话标准，能听懂上海话；3、具有良好的沟通、协调、表达能力，性格沉稳、待人礼貌周到，服务意识强；4、女性，年龄：18-35，身高：165以上，身材匀称，面容较好。</v>
      </c>
      <c r="N345" s="7">
        <f t="shared" si="34"/>
        <v>0</v>
      </c>
      <c r="O345" s="7">
        <f t="shared" si="35"/>
        <v>0</v>
      </c>
    </row>
    <row r="346" spans="1:15">
      <c r="A346" s="7">
        <f t="shared" si="30"/>
        <v>8</v>
      </c>
      <c r="B346" s="7" t="s">
        <v>450</v>
      </c>
      <c r="C346" s="8" t="s">
        <v>451</v>
      </c>
      <c r="D346" s="7" t="s">
        <v>1108</v>
      </c>
      <c r="E346" s="7">
        <v>3</v>
      </c>
      <c r="F346" s="7" t="s">
        <v>425</v>
      </c>
      <c r="G346" s="8" t="s">
        <v>1109</v>
      </c>
      <c r="H346" s="7" t="s">
        <v>1110</v>
      </c>
      <c r="I346" s="7" t="str">
        <f t="shared" si="33"/>
        <v>电子装联工艺师（学历：硕士 专业要求：无）</v>
      </c>
      <c r="J346" s="7">
        <f t="shared" si="31"/>
        <v>286</v>
      </c>
      <c r="K346" s="7">
        <f>_xlfn.XLOOKUP(A346,长度要求!A:A,长度要求!E:E)</f>
        <v>500</v>
      </c>
      <c r="L346" s="7" t="str">
        <f t="shared" si="32"/>
        <v>岗位职责：1、负责电子装联专业领域工艺技术研发及具体项目的实施；2、负责本专业各类产品工艺技术文件编制，提供现场技术服务；3、负责组织并进行工艺技术攻关，解决生产过程中的各类技术难题；4、负责导电滑环、汇流环类产品的设计研发；5、负责相关论文、专利等科技成果撰写。任职资格：1、电子封装、材料、机械电子工程等相关专业背景；2、具有独立负责开展新产品/项目开发的能力；3、熟练掌握电路原理、数字电路和模拟电路相关理论知识；4、具有一定的机电产品设计能力，了解机电一体化产品精密装配；5、熟练使用AutoCAD、AltiumDesigner、PRO-E、Ansys等相关软件。</v>
      </c>
      <c r="N346" s="7">
        <f t="shared" si="34"/>
        <v>0</v>
      </c>
      <c r="O346" s="7">
        <f t="shared" si="35"/>
        <v>0</v>
      </c>
    </row>
    <row r="347" spans="1:15">
      <c r="A347" s="7">
        <f t="shared" si="30"/>
        <v>8</v>
      </c>
      <c r="B347" s="7" t="s">
        <v>614</v>
      </c>
      <c r="C347" s="8" t="s">
        <v>615</v>
      </c>
      <c r="D347" s="7" t="s">
        <v>1111</v>
      </c>
      <c r="E347" s="7">
        <v>2</v>
      </c>
      <c r="F347" s="7" t="s">
        <v>192</v>
      </c>
      <c r="G347" s="8" t="s">
        <v>1112</v>
      </c>
      <c r="H347" s="7" t="s">
        <v>896</v>
      </c>
      <c r="I347" s="7" t="str">
        <f t="shared" si="33"/>
        <v>营销经理（校招）（学历：本科 专业要求：无）</v>
      </c>
      <c r="J347" s="7">
        <f t="shared" si="31"/>
        <v>621</v>
      </c>
      <c r="K347" s="7">
        <f>_xlfn.XLOOKUP(A347,长度要求!A:A,长度要求!E:E)</f>
        <v>500</v>
      </c>
      <c r="L347" s="7" t="str">
        <f t="shared" si="32"/>
        <v>1、负责所有项下项目需求计划、发货计划、收款计划、新接订单计划；2、负责对重点项目立项审批报告的填报，对项目信息的准确负责并建立对外联系的通讯录；3、负责对用户现场售后服务需求的信息反馈，并沟通、协调现场服务管理中发生的商务问题、补缺件问题。4、负责合同的签订前的价格评审、条款评审、法务评审的配合工作；5、负责向用户反馈执行合同的制造进度、收发货事宜、开票及收款计划、售后服务需求。6、负责与用户进行合同谈判和签约，对合同文本中的内容负首要责任；7、负责见证报告、完工报告批准，装箱、物流、商检、报关、清关、保函、信用证议付等单证工作及协调；8、运营管理，负责需求计划、发货计划、开票计划、收款计划、新接订单计划及应收、库存管理和控制；9、负责技术、商务协议初审，内部提资竞争性分析及消差，相关谈判、评审、建议和签约，对合同内容负首要责任；10、负责合同翻转及拆解，执行节点设计及输入，内部和供应商提资初审及推动外部审批，项目进度及风险控制；11、协调和支持现场收货清点验收、安装调试指导、文件和问题解决、调试证书获取，售后及全生命期服务支持；任职要求专业要求：电气类（电气工程及其自动化/电机与电……</v>
      </c>
      <c r="N347" s="7">
        <f t="shared" si="34"/>
        <v>0</v>
      </c>
      <c r="O347" s="7">
        <f t="shared" si="35"/>
        <v>0</v>
      </c>
    </row>
    <row r="348" spans="1:15">
      <c r="A348" s="7">
        <f t="shared" si="30"/>
        <v>7</v>
      </c>
      <c r="B348" s="7" t="s">
        <v>1054</v>
      </c>
      <c r="C348" s="8" t="s">
        <v>1055</v>
      </c>
      <c r="D348" s="7" t="s">
        <v>1113</v>
      </c>
      <c r="E348" s="7">
        <v>3</v>
      </c>
      <c r="F348" s="7" t="s">
        <v>192</v>
      </c>
      <c r="G348" s="8" t="s">
        <v>1114</v>
      </c>
      <c r="H348" s="7" t="s">
        <v>896</v>
      </c>
      <c r="I348" s="7" t="str">
        <f t="shared" si="33"/>
        <v>汽机研究员（学历：本科 专业要求：无）</v>
      </c>
      <c r="J348" s="7">
        <f t="shared" si="31"/>
        <v>210</v>
      </c>
      <c r="K348" s="7">
        <f>_xlfn.XLOOKUP(A348,长度要求!A:A,长度要求!E:E)</f>
        <v>500</v>
      </c>
      <c r="L348" s="7" t="str">
        <f t="shared" si="32"/>
        <v>【汽机研究员-轴系振动】1、现场轴系振动故障解决；2、转子动力学设计计算；3、运维系统的现场调试；4、售前售后技术支持；【汽机研究员-通流设计】1、开展特殊透平相关新型热力系统新技术的调研、规划和研发工作；2、负责多级轴流压气机等特殊产品的气动设计和优化、数值模拟以及内部流动机理分析；3、开展各类压缩机、透平通流设计及气动优化工作；4、开展特殊透平产品性能试验和数据分析工作；5、负责特殊透平相关设计软件的发展及完善；</v>
      </c>
      <c r="N348" s="7">
        <f t="shared" si="34"/>
        <v>0</v>
      </c>
      <c r="O348" s="7">
        <f t="shared" si="35"/>
        <v>0</v>
      </c>
    </row>
    <row r="349" spans="1:15">
      <c r="A349" s="7">
        <f t="shared" si="30"/>
        <v>3</v>
      </c>
      <c r="B349" s="7" t="s">
        <v>109</v>
      </c>
      <c r="C349" s="8" t="s">
        <v>110</v>
      </c>
      <c r="D349" s="7" t="s">
        <v>1115</v>
      </c>
      <c r="E349" s="7">
        <v>5</v>
      </c>
      <c r="F349" s="7" t="s">
        <v>27</v>
      </c>
      <c r="G349" s="8" t="s">
        <v>1116</v>
      </c>
      <c r="H349" s="7" t="s">
        <v>77</v>
      </c>
      <c r="I349" s="7" t="str">
        <f t="shared" si="33"/>
        <v>工程技术（学历：初中及以下 专业要求：无）</v>
      </c>
      <c r="J349" s="7">
        <f t="shared" si="31"/>
        <v>279</v>
      </c>
      <c r="K349" s="7">
        <f>_xlfn.XLOOKUP(A349,长度要求!A:A,长度要求!E:E)</f>
        <v>500</v>
      </c>
      <c r="L349" s="7" t="str">
        <f t="shared" si="32"/>
        <v>岗位职责协助完成水电设施的日常巡检、维护、简单安装及维修工作，同时学习并掌握水电系统的基础原理、安全规范和实操技能。1.协助日常巡检与维护-跟随带教人对建筑物内的水电设施，进行定期巡检，记录设备运行状态。-协助完成水电设施的日常保养工作，-发现水电设施异常时，及时向带教人或上级汇报，并协助做好问题记录。2.辅助维修与安装工作-在带教人指导下，协助完成简单的维修任务，-参与水电安装的辅助工作，-维修或安装完成后，协助清理现场，整理工具和剩余材料任职资格：1.持证上岗（高、低压证、空调证等均可）；2.认真负责，沟通协调能力强；3.有意向在物业行业长期发展；</v>
      </c>
      <c r="N349" s="7">
        <f t="shared" si="34"/>
        <v>0</v>
      </c>
      <c r="O349" s="7">
        <f t="shared" si="35"/>
        <v>0</v>
      </c>
    </row>
    <row r="350" spans="1:15">
      <c r="A350" s="7">
        <f t="shared" si="30"/>
        <v>7</v>
      </c>
      <c r="B350" s="7" t="s">
        <v>1054</v>
      </c>
      <c r="C350" s="8" t="s">
        <v>1055</v>
      </c>
      <c r="D350" s="7" t="s">
        <v>1117</v>
      </c>
      <c r="E350" s="7">
        <v>6</v>
      </c>
      <c r="F350" s="7" t="s">
        <v>192</v>
      </c>
      <c r="G350" s="8" t="s">
        <v>1118</v>
      </c>
      <c r="H350" s="7" t="s">
        <v>896</v>
      </c>
      <c r="I350" s="7" t="str">
        <f t="shared" si="33"/>
        <v>燃机研究员（学历：本科 专业要求：无）</v>
      </c>
      <c r="J350" s="7">
        <f t="shared" si="31"/>
        <v>519</v>
      </c>
      <c r="K350" s="7">
        <f>_xlfn.XLOOKUP(A350,长度要求!A:A,长度要求!E:E)</f>
        <v>500</v>
      </c>
      <c r="L350" s="7" t="str">
        <f t="shared" si="32"/>
        <v>【燃机研究员-结构、测试】1、负责叶片相关的结构设计及强度校核；2、负责燃气轮机相关部件的结构改进及强度验证；3、负责制造技术的支持；【燃机研究员-智能化】1、参与完成燃气轮机智能化热力平台开发工作，包括燃气轮机热力建模、状态监测和故障诊断等方面。2、跟踪国内外电厂智能化应用的最新动态。3、参与完成新设计和升级改造燃机及辅助系统的控制策略设计开发和调试技术支持工作。【燃机研究员-传热】1、各类燃机透平部件传热设计及热分析；2、各类燃机透平部件前沿技术调研及开发；3、电厂现场服务改进设计；【燃机研究员-气动】1、根据设计目标，开展压气机流道与叶片气动优化设计，并开展全工况特性评估2、压气机气动设计分析体系（方法、工具、流程）开发与优化完善3、压气机流场测试方案设计与数据处理分析4、压气机相关智能化产品与服务技术支持与开发【燃机研究员-燃烧室设计】1、负责燃烧器设计CFD计算分析2、负责燃烧室传热计算分析3、负责燃烧室非稳态计算方法开发4、负责燃烧室试验测量及数据分析【燃机研究员-材料与分析技术】1、对材料进行金相、力学和热物性分析2、跟踪国际上先进的燃气轮机材料技术3、承担材料应用技术的……</v>
      </c>
      <c r="N350" s="7">
        <f t="shared" si="34"/>
        <v>0</v>
      </c>
      <c r="O350" s="7">
        <f t="shared" si="35"/>
        <v>0</v>
      </c>
    </row>
    <row r="351" spans="1:15">
      <c r="A351" s="7">
        <f t="shared" si="30"/>
        <v>7</v>
      </c>
      <c r="B351" s="7" t="s">
        <v>1054</v>
      </c>
      <c r="C351" s="8" t="s">
        <v>1055</v>
      </c>
      <c r="D351" s="7" t="s">
        <v>611</v>
      </c>
      <c r="E351" s="7">
        <v>4</v>
      </c>
      <c r="F351" s="7" t="s">
        <v>192</v>
      </c>
      <c r="G351" s="8" t="s">
        <v>1119</v>
      </c>
      <c r="H351" s="7" t="s">
        <v>896</v>
      </c>
      <c r="I351" s="7" t="str">
        <f t="shared" si="33"/>
        <v>工艺员（学历：本科 专业要求：无）</v>
      </c>
      <c r="J351" s="7">
        <f t="shared" si="31"/>
        <v>497</v>
      </c>
      <c r="K351" s="7">
        <f>_xlfn.XLOOKUP(A351,长度要求!A:A,长度要求!E:E)</f>
        <v>500</v>
      </c>
      <c r="L351" s="7" t="str">
        <f t="shared" si="32"/>
        <v>【工艺员-产品工艺】1、负责汽轮机、燃气轮机、装备汽轮机等相关零部件的整体工艺规划及方案制定；2、负责产品设计工艺性审查，路线卡、工序卡等工艺技术文件的编制工作；3、负责专用刀具、夹具等工装的设计及相关技术准备工作；4、负责数控程序编制、NXCAM技术和仿真技术应用与推广；5、负责各类产品的技术协议编制、外协生产技术支持工作；6、负责制造现场技术问题处理及支持；7、负责汽轮机、燃气轮机的部套装配工艺、机组总装工艺、电厂技术服务工作；8、负责设计方案工艺评定及结构优化。【工艺员-材料工艺】1.材料、产品、工艺技术开发与试验研究；2.表面处理工艺准备及生产技术支持；3.材料应用性能数据库的建立和完善；4.材料技术规范的制定和应用；5.关键零部件寿命评估技术的研究和应用；6.新材料新工艺的科研攻关7.产品的材料、工艺首件试制评审；8.供应链的技术服务；9.产品售后的材料技术支持与服务；【工艺员-焊接工艺】1.产品工艺准备（生产工艺文件、焊接工艺评定、技术修改单、工装设计等）；2.生产现场服务、处理质量事件等；3.外协技术服务、电厂技术服务等；4.工艺技术开发、提升；5.焊接新技术研究；</v>
      </c>
      <c r="N351" s="7">
        <f t="shared" si="34"/>
        <v>0</v>
      </c>
      <c r="O351" s="7">
        <f t="shared" si="35"/>
        <v>0</v>
      </c>
    </row>
    <row r="352" spans="1:15">
      <c r="A352" s="7">
        <f t="shared" si="30"/>
        <v>2</v>
      </c>
      <c r="B352" s="7" t="s">
        <v>553</v>
      </c>
      <c r="C352" s="8" t="s">
        <v>554</v>
      </c>
      <c r="D352" s="7" t="s">
        <v>1120</v>
      </c>
      <c r="E352" s="7">
        <v>4</v>
      </c>
      <c r="F352" s="7" t="s">
        <v>192</v>
      </c>
      <c r="G352" s="8" t="s">
        <v>1121</v>
      </c>
      <c r="H352" s="7" t="s">
        <v>77</v>
      </c>
      <c r="I352" s="7" t="str">
        <f t="shared" si="33"/>
        <v>幼儿园教师（学历：本科 专业要求：无）</v>
      </c>
      <c r="J352" s="7">
        <f t="shared" si="31"/>
        <v>225</v>
      </c>
      <c r="K352" s="7">
        <f>_xlfn.XLOOKUP(A352,长度要求!A:A,长度要求!E:E)</f>
        <v>500</v>
      </c>
      <c r="L352" s="7" t="str">
        <f t="shared" si="32"/>
        <v>工作内容：1、认真贯彻执行教师职业道德规范，积极履行《教师法》规定的各项义务。2、自觉遵守学校规章制度，认真参加学校规定的各种会议与活动，服从学校工作需要，承担和胜任学校分配的工作任务。3、熟悉教材，制定可行的保教工作计划,完成期末总结，协助整理教学资料的归档工作。5、积极参加各级的展示课、公开课等教研活动，承担课题研究任务，注重经验交流、积累。6、参与班级管理，主动承担学校安排的班主任工作。7、积极参加教师继续教育培训，按规定完成继续教育学分。</v>
      </c>
      <c r="N352" s="7">
        <f t="shared" si="34"/>
        <v>0</v>
      </c>
      <c r="O352" s="7">
        <f t="shared" si="35"/>
        <v>0</v>
      </c>
    </row>
    <row r="353" spans="1:15">
      <c r="A353" s="7">
        <f t="shared" si="30"/>
        <v>8</v>
      </c>
      <c r="B353" s="7" t="s">
        <v>795</v>
      </c>
      <c r="C353" s="8" t="s">
        <v>796</v>
      </c>
      <c r="D353" s="7" t="s">
        <v>1122</v>
      </c>
      <c r="E353" s="7">
        <v>15</v>
      </c>
      <c r="F353" s="7" t="s">
        <v>34</v>
      </c>
      <c r="G353" s="8" t="s">
        <v>1123</v>
      </c>
      <c r="H353" s="7" t="s">
        <v>55</v>
      </c>
      <c r="I353" s="7" t="str">
        <f t="shared" si="33"/>
        <v>数控车床操作工（学历：中专/技校 专业要求：无）</v>
      </c>
      <c r="J353" s="7">
        <f t="shared" si="31"/>
        <v>196</v>
      </c>
      <c r="K353" s="7">
        <f>_xlfn.XLOOKUP(A353,长度要求!A:A,长度要求!E:E)</f>
        <v>500</v>
      </c>
      <c r="L353" s="7" t="str">
        <f t="shared" si="32"/>
        <v>岗位职责：（1）根据生产计划，保质保量按时完成生产作业指标。（2）熟悉和掌握图纸及所提示的技术要求，事前校好工装和量具。（3）检查设备状况是否正常，油路是否畅通。检查材料是否符合加工要求。（4）协助检验人员进行抽样检查。做好半成品的交接手续。（5）做好设备的保养和润滑。设备发生故障，协助维修工工作。做好安全生产和现场5S。任职要求：中专以上学历，数控、机械、机电等相关专业，实习后直接就业。</v>
      </c>
      <c r="N353" s="7">
        <f t="shared" si="34"/>
        <v>0</v>
      </c>
      <c r="O353" s="7">
        <f t="shared" si="35"/>
        <v>0</v>
      </c>
    </row>
    <row r="354" spans="1:15">
      <c r="A354" s="7">
        <f t="shared" si="30"/>
        <v>5</v>
      </c>
      <c r="B354" s="7" t="s">
        <v>63</v>
      </c>
      <c r="C354" s="8" t="s">
        <v>64</v>
      </c>
      <c r="D354" s="7" t="s">
        <v>1124</v>
      </c>
      <c r="E354" s="7">
        <v>2</v>
      </c>
      <c r="F354" s="7" t="s">
        <v>18</v>
      </c>
      <c r="G354" s="8" t="s">
        <v>1125</v>
      </c>
      <c r="H354" s="7" t="s">
        <v>741</v>
      </c>
      <c r="I354" s="7" t="str">
        <f t="shared" si="33"/>
        <v>货代操作/海运出口操作/海运操作（学历：大专 专业要求：无）</v>
      </c>
      <c r="J354" s="7">
        <f t="shared" si="31"/>
        <v>118</v>
      </c>
      <c r="K354" s="7">
        <f>_xlfn.XLOOKUP(A354,长度要求!A:A,长度要求!E:E)</f>
        <v>500</v>
      </c>
      <c r="L354" s="7" t="str">
        <f t="shared" si="32"/>
        <v>熟悉海运、货代行业的操作等业务，2年以上国内操作相关经验；具有较强的沟通协调能力，有广泛的同行接触和良好人际关系；能简单回复英文邮件；能熟练使用办公软件，操作相关现代化办公设备；具有较强的团队意识和敬业精神；性格开朗，形象佳者优先考虑。</v>
      </c>
      <c r="N354" s="7">
        <f t="shared" si="34"/>
        <v>0</v>
      </c>
      <c r="O354" s="7">
        <f t="shared" si="35"/>
        <v>0</v>
      </c>
    </row>
    <row r="355" spans="1:15">
      <c r="A355" s="7">
        <f t="shared" si="30"/>
        <v>7</v>
      </c>
      <c r="B355" s="7" t="s">
        <v>647</v>
      </c>
      <c r="C355" s="8" t="s">
        <v>648</v>
      </c>
      <c r="D355" s="7" t="s">
        <v>1126</v>
      </c>
      <c r="E355" s="7">
        <v>10</v>
      </c>
      <c r="F355" s="7" t="s">
        <v>192</v>
      </c>
      <c r="G355" s="8" t="s">
        <v>1127</v>
      </c>
      <c r="H355" s="7" t="s">
        <v>588</v>
      </c>
      <c r="I355" s="7" t="str">
        <f t="shared" si="33"/>
        <v>商务助理（学历：本科 专业要求：无）</v>
      </c>
      <c r="J355" s="7">
        <f t="shared" si="31"/>
        <v>100</v>
      </c>
      <c r="K355" s="7">
        <f>_xlfn.XLOOKUP(A355,长度要求!A:A,长度要求!E:E)</f>
        <v>500</v>
      </c>
      <c r="L355" s="7" t="str">
        <f t="shared" si="32"/>
        <v>负责销售内勤工作：1，投标文件的编制；2，合同台账、清单、数据收集和整理；3，协助款项记录；4，其他销售部内务事项任职资格：1，大学本科及以上学历，欢迎应届毕业生；2，专业不限，欢迎文科类专业毕业生；</v>
      </c>
      <c r="N355" s="7">
        <f t="shared" si="34"/>
        <v>0</v>
      </c>
      <c r="O355" s="7">
        <f t="shared" si="35"/>
        <v>0</v>
      </c>
    </row>
    <row r="356" spans="1:15">
      <c r="A356" s="7">
        <f t="shared" si="30"/>
        <v>8</v>
      </c>
      <c r="B356" s="7" t="s">
        <v>717</v>
      </c>
      <c r="C356" s="8" t="s">
        <v>718</v>
      </c>
      <c r="D356" s="7" t="s">
        <v>1128</v>
      </c>
      <c r="E356" s="7">
        <v>3</v>
      </c>
      <c r="F356" s="7" t="s">
        <v>192</v>
      </c>
      <c r="G356" s="8" t="s">
        <v>1129</v>
      </c>
      <c r="H356" s="7" t="s">
        <v>62</v>
      </c>
      <c r="I356" s="7" t="str">
        <f t="shared" si="33"/>
        <v>3D设计师（学历：本科 专业要求：无）</v>
      </c>
      <c r="J356" s="7">
        <f t="shared" si="31"/>
        <v>49</v>
      </c>
      <c r="K356" s="7">
        <f>_xlfn.XLOOKUP(A356,长度要求!A:A,长度要求!E:E)</f>
        <v>500</v>
      </c>
      <c r="L356" s="7" t="str">
        <f t="shared" si="32"/>
        <v>有至少半年以上的展览特装展台、活动项目的三维设计经验，含材质图、网格图、标志图、效果图等的制作等。</v>
      </c>
      <c r="N356" s="7">
        <f t="shared" si="34"/>
        <v>0</v>
      </c>
      <c r="O356" s="7">
        <f t="shared" si="35"/>
        <v>0</v>
      </c>
    </row>
    <row r="357" spans="1:15">
      <c r="A357" s="7">
        <f t="shared" si="30"/>
        <v>6</v>
      </c>
      <c r="B357" s="7" t="s">
        <v>318</v>
      </c>
      <c r="C357" s="8" t="s">
        <v>319</v>
      </c>
      <c r="D357" s="7" t="s">
        <v>1130</v>
      </c>
      <c r="E357" s="7">
        <v>4</v>
      </c>
      <c r="F357" s="7" t="s">
        <v>192</v>
      </c>
      <c r="G357" s="8" t="s">
        <v>1131</v>
      </c>
      <c r="H357" s="7" t="s">
        <v>322</v>
      </c>
      <c r="I357" s="7" t="str">
        <f t="shared" si="33"/>
        <v>修理改造业务岗位（学历：本科 专业要求：无）</v>
      </c>
      <c r="J357" s="7">
        <f t="shared" si="31"/>
        <v>362</v>
      </c>
      <c r="K357" s="7">
        <f>_xlfn.XLOOKUP(A357,长度要求!A:A,长度要求!E:E)</f>
        <v>500</v>
      </c>
      <c r="L357" s="7" t="str">
        <f t="shared" si="32"/>
        <v>修理改造业务岗位职位要求：男女不限，18-40周岁，大专及以上学历，机电类、市场营销类相关专业为佳；听得懂上海话，上海户籍优先；有销售服务技巧者优先；遵纪守法，品行端正，具备良好的精神面貌；身体健康（无高血压及心脏病史），视力正常（500度以下）；能吃苦耐劳，学习能力强，有一定应变能力；能熟练运用常用办公自动化软件；能根据岗位需要服从领导安排；工作职责：参与电梯修理、改造业务方面的销售及客户的对接；协同相关部门为用户编制电梯修理改造解决方案，并跟踪协调实施进度；为现场同事及客户提供可靠的专业技术支持。岗位转型：有相关工作经验者优先考虑；从事过电梯安装维保工作者，经专项面试通过后可培养使用。工作区域：上海市静安区昌化路649号（上海三菱电梯安装维修分公司）工资待遇：面议从优、无工作经验条件满足者面试通过后培训上岗使用</v>
      </c>
      <c r="N357" s="7">
        <f t="shared" si="34"/>
        <v>0</v>
      </c>
      <c r="O357" s="7">
        <f t="shared" si="35"/>
        <v>0</v>
      </c>
    </row>
    <row r="358" spans="1:15">
      <c r="A358" s="7">
        <f t="shared" si="30"/>
        <v>8</v>
      </c>
      <c r="B358" s="7" t="s">
        <v>795</v>
      </c>
      <c r="C358" s="8" t="s">
        <v>796</v>
      </c>
      <c r="D358" s="7" t="s">
        <v>1132</v>
      </c>
      <c r="E358" s="7">
        <v>10</v>
      </c>
      <c r="F358" s="7" t="s">
        <v>192</v>
      </c>
      <c r="G358" s="8" t="s">
        <v>1079</v>
      </c>
      <c r="H358" s="7" t="s">
        <v>1133</v>
      </c>
      <c r="I358" s="7" t="str">
        <f t="shared" si="33"/>
        <v>助理工艺工程师（学历：本科 专业要求：无）</v>
      </c>
      <c r="J358" s="7">
        <f t="shared" si="31"/>
        <v>106</v>
      </c>
      <c r="K358" s="7">
        <f>_xlfn.XLOOKUP(A358,长度要求!A:A,长度要求!E:E)</f>
        <v>500</v>
      </c>
      <c r="L358" s="7" t="str">
        <f t="shared" si="32"/>
        <v>1、负责新产品工艺开发和工艺策划，2、负责机加设备的刀具、工yy装和夹具设计，改进和优化工艺参数以提高实物质量、生产效率，降低各种生产成本和费用。岗位要求：1、全日制本科及以上学历，英语四级以上，优秀应届生优先。</v>
      </c>
      <c r="N358" s="7">
        <f t="shared" si="34"/>
        <v>0</v>
      </c>
      <c r="O358" s="7">
        <f t="shared" si="35"/>
        <v>0</v>
      </c>
    </row>
    <row r="359" spans="1:15">
      <c r="A359" s="7">
        <f t="shared" si="30"/>
        <v>8</v>
      </c>
      <c r="B359" s="7" t="s">
        <v>795</v>
      </c>
      <c r="C359" s="8" t="s">
        <v>796</v>
      </c>
      <c r="D359" s="7" t="s">
        <v>1134</v>
      </c>
      <c r="E359" s="7">
        <v>20</v>
      </c>
      <c r="F359" s="7" t="s">
        <v>18</v>
      </c>
      <c r="G359" s="8" t="s">
        <v>1135</v>
      </c>
      <c r="H359" s="7" t="s">
        <v>1136</v>
      </c>
      <c r="I359" s="7" t="str">
        <f t="shared" si="33"/>
        <v>实习车床/磨床操作工（学历：大专 专业要求：无）</v>
      </c>
      <c r="J359" s="7">
        <f t="shared" si="31"/>
        <v>44</v>
      </c>
      <c r="K359" s="7">
        <f>_xlfn.XLOOKUP(A359,长度要求!A:A,长度要求!E:E)</f>
        <v>500</v>
      </c>
      <c r="L359" s="7" t="str">
        <f t="shared" si="32"/>
        <v>岗位要求：1、中专以上学历，能看懂图纸，能适应翻班。2、一经录用包吃，社保全部公司缴纳。</v>
      </c>
      <c r="N359" s="7">
        <f t="shared" si="34"/>
        <v>0</v>
      </c>
      <c r="O359" s="7">
        <f t="shared" si="35"/>
        <v>0</v>
      </c>
    </row>
    <row r="360" spans="1:15">
      <c r="A360" s="7">
        <f t="shared" si="30"/>
        <v>8</v>
      </c>
      <c r="B360" s="7" t="s">
        <v>795</v>
      </c>
      <c r="C360" s="8" t="s">
        <v>796</v>
      </c>
      <c r="D360" s="7" t="s">
        <v>1137</v>
      </c>
      <c r="E360" s="7">
        <v>10</v>
      </c>
      <c r="F360" s="7" t="s">
        <v>192</v>
      </c>
      <c r="G360" s="8" t="s">
        <v>1138</v>
      </c>
      <c r="H360" s="7" t="s">
        <v>1139</v>
      </c>
      <c r="I360" s="7" t="str">
        <f t="shared" si="33"/>
        <v>助理维修工程师（学历：本科 专业要求：无）</v>
      </c>
      <c r="J360" s="7">
        <f t="shared" si="31"/>
        <v>92</v>
      </c>
      <c r="K360" s="7">
        <f>_xlfn.XLOOKUP(A360,长度要求!A:A,长度要求!E:E)</f>
        <v>500</v>
      </c>
      <c r="L360" s="7" t="str">
        <f t="shared" si="32"/>
        <v>1、负责公司电气设备维修、保养，对维修人员培训；负责电气维修技术工作。2、负责公司设备的电气维修工作及自动化技术技术指导。岗位要求：1、本科以上学历，英语四级以上，优秀应届毕业生优先。</v>
      </c>
      <c r="N360" s="7">
        <f t="shared" si="34"/>
        <v>0</v>
      </c>
      <c r="O360" s="7">
        <f t="shared" si="35"/>
        <v>0</v>
      </c>
    </row>
    <row r="361" spans="1:15">
      <c r="A361" s="7">
        <f t="shared" si="30"/>
        <v>8</v>
      </c>
      <c r="B361" s="7" t="s">
        <v>717</v>
      </c>
      <c r="C361" s="8" t="s">
        <v>718</v>
      </c>
      <c r="D361" s="7" t="s">
        <v>668</v>
      </c>
      <c r="E361" s="7">
        <v>1</v>
      </c>
      <c r="F361" s="7" t="s">
        <v>192</v>
      </c>
      <c r="G361" s="8" t="s">
        <v>1140</v>
      </c>
      <c r="H361" s="7" t="s">
        <v>62</v>
      </c>
      <c r="I361" s="7" t="str">
        <f t="shared" si="33"/>
        <v>平面设计师（学历：本科 专业要求：无）</v>
      </c>
      <c r="J361" s="7">
        <f t="shared" si="31"/>
        <v>23</v>
      </c>
      <c r="K361" s="7">
        <f>_xlfn.XLOOKUP(A361,长度要求!A:A,长度要求!E:E)</f>
        <v>500</v>
      </c>
      <c r="L361" s="7" t="str">
        <f t="shared" si="32"/>
        <v>负责展台项目中涉及的平面内容设计、排版、创意。</v>
      </c>
      <c r="N361" s="7">
        <f t="shared" si="34"/>
        <v>0</v>
      </c>
      <c r="O361" s="7">
        <f t="shared" si="35"/>
        <v>0</v>
      </c>
    </row>
    <row r="362" spans="1:15">
      <c r="A362" s="7">
        <f t="shared" si="30"/>
        <v>8</v>
      </c>
      <c r="B362" s="7" t="s">
        <v>614</v>
      </c>
      <c r="C362" s="8" t="s">
        <v>615</v>
      </c>
      <c r="D362" s="7" t="s">
        <v>1141</v>
      </c>
      <c r="E362" s="7">
        <v>1</v>
      </c>
      <c r="F362" s="7" t="s">
        <v>192</v>
      </c>
      <c r="G362" s="8" t="s">
        <v>1142</v>
      </c>
      <c r="H362" s="7" t="s">
        <v>896</v>
      </c>
      <c r="I362" s="7" t="str">
        <f t="shared" si="33"/>
        <v>质量工程师（校招）（学历：本科 专业要求：无）</v>
      </c>
      <c r="J362" s="7">
        <f t="shared" si="31"/>
        <v>156</v>
      </c>
      <c r="K362" s="7">
        <f>_xlfn.XLOOKUP(A362,长度要求!A:A,长度要求!E:E)</f>
        <v>500</v>
      </c>
      <c r="L362" s="7" t="str">
        <f t="shared" si="32"/>
        <v>1、三包产品质量问题分析会议组织协调（含质量仲裁）；2、内、外部质量损失分析、统计及编制质量损失分析报告；3、外部三包纠正预防措施落实；4、公司CAPA系统综合管理。负责公司CAPA整个过程的监控，包括角色的分配等。5、参与各类质量体系审核工作；6、参与供应商准入工作。学历：本科及以上专业：电气、机械、质量管理</v>
      </c>
      <c r="N362" s="7">
        <f t="shared" si="34"/>
        <v>0</v>
      </c>
      <c r="O362" s="7">
        <f t="shared" si="35"/>
        <v>0</v>
      </c>
    </row>
    <row r="363" spans="1:15">
      <c r="A363" s="7">
        <f t="shared" si="30"/>
        <v>3</v>
      </c>
      <c r="B363" s="7" t="s">
        <v>446</v>
      </c>
      <c r="C363" s="8" t="s">
        <v>447</v>
      </c>
      <c r="D363" s="7" t="s">
        <v>1143</v>
      </c>
      <c r="E363" s="7">
        <v>10</v>
      </c>
      <c r="F363" s="7" t="s">
        <v>18</v>
      </c>
      <c r="G363" s="8" t="s">
        <v>1144</v>
      </c>
      <c r="H363" s="7" t="s">
        <v>67</v>
      </c>
      <c r="I363" s="7" t="str">
        <f t="shared" si="33"/>
        <v>工程技术实习生（2026届）（学历：大专 专业要求：无）</v>
      </c>
      <c r="J363" s="7">
        <f t="shared" si="31"/>
        <v>223</v>
      </c>
      <c r="K363" s="7">
        <f>_xlfn.XLOOKUP(A363,长度要求!A:A,长度要求!E:E)</f>
        <v>500</v>
      </c>
      <c r="L363" s="7" t="str">
        <f t="shared" si="32"/>
        <v>1、协助对相关设施设备进行巡视检查；2、学习有序操作相关设施设备，确保设施设备正常运行；3、发现设施设备故障，协助及时维修或联系维保单位上门修理；4、协助督促维保单位对设施设备进行例行保养；5、在上级领导的指挥下，参与完成例行演练；6、学习填写设施设备管理日志或作业日志；7、发生紧急情况，学会及时响应、及时处置解决；央企总部招聘，要求2026届应届生；配备专门的带教老师，负责岗位工作教学引导；享受固定实习津贴，毕业后根据实习情况择优录用转正。</v>
      </c>
      <c r="N363" s="7">
        <f t="shared" si="34"/>
        <v>0</v>
      </c>
      <c r="O363" s="7">
        <f t="shared" si="35"/>
        <v>0</v>
      </c>
    </row>
  </sheetData>
  <autoFilter xmlns:etc="http://www.wps.cn/officeDocument/2017/etCustomData" ref="A1:H36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7"/>
  <sheetViews>
    <sheetView topLeftCell="A2" workbookViewId="0">
      <selection activeCell="G9" sqref="G9"/>
    </sheetView>
  </sheetViews>
  <sheetFormatPr defaultColWidth="9.02727272727273" defaultRowHeight="14.5" outlineLevelCol="2"/>
  <sheetData>
    <row r="1" spans="1:3">
      <c r="A1" s="6" t="s">
        <v>1145</v>
      </c>
      <c r="B1" s="6" t="s">
        <v>1146</v>
      </c>
      <c r="C1" s="6" t="s">
        <v>1147</v>
      </c>
    </row>
    <row r="2" spans="1:3">
      <c r="A2" t="s">
        <v>219</v>
      </c>
      <c r="B2" t="s">
        <v>1148</v>
      </c>
      <c r="C2" t="s">
        <v>1149</v>
      </c>
    </row>
    <row r="3" spans="1:3">
      <c r="A3" t="s">
        <v>1023</v>
      </c>
      <c r="B3" t="s">
        <v>1148</v>
      </c>
      <c r="C3" t="s">
        <v>1150</v>
      </c>
    </row>
    <row r="4" spans="1:3">
      <c r="A4" t="s">
        <v>474</v>
      </c>
      <c r="B4" t="s">
        <v>1148</v>
      </c>
      <c r="C4" t="s">
        <v>1151</v>
      </c>
    </row>
    <row r="5" spans="1:3">
      <c r="A5" t="s">
        <v>1010</v>
      </c>
      <c r="B5" t="s">
        <v>1148</v>
      </c>
      <c r="C5" t="s">
        <v>1152</v>
      </c>
    </row>
    <row r="6" spans="1:3">
      <c r="A6" t="s">
        <v>662</v>
      </c>
      <c r="B6" t="s">
        <v>1148</v>
      </c>
      <c r="C6" t="s">
        <v>1153</v>
      </c>
    </row>
    <row r="7" spans="1:3">
      <c r="A7" t="s">
        <v>1035</v>
      </c>
      <c r="B7" t="s">
        <v>1148</v>
      </c>
      <c r="C7" t="s">
        <v>1154</v>
      </c>
    </row>
    <row r="8" spans="1:3">
      <c r="A8" t="s">
        <v>459</v>
      </c>
      <c r="B8" t="s">
        <v>1148</v>
      </c>
      <c r="C8" t="s">
        <v>1155</v>
      </c>
    </row>
    <row r="9" spans="1:3">
      <c r="A9" t="s">
        <v>450</v>
      </c>
      <c r="B9" t="s">
        <v>1148</v>
      </c>
      <c r="C9" t="s">
        <v>1156</v>
      </c>
    </row>
    <row r="10" spans="1:3">
      <c r="A10" t="s">
        <v>441</v>
      </c>
      <c r="B10" t="s">
        <v>1148</v>
      </c>
      <c r="C10" t="s">
        <v>1157</v>
      </c>
    </row>
    <row r="11" spans="1:3">
      <c r="A11" t="s">
        <v>318</v>
      </c>
      <c r="B11" t="s">
        <v>1148</v>
      </c>
      <c r="C11" t="s">
        <v>1158</v>
      </c>
    </row>
    <row r="12" spans="1:3">
      <c r="A12" t="s">
        <v>312</v>
      </c>
      <c r="B12" t="s">
        <v>1148</v>
      </c>
      <c r="C12" t="s">
        <v>1159</v>
      </c>
    </row>
    <row r="13" spans="1:3">
      <c r="A13" t="s">
        <v>1054</v>
      </c>
      <c r="B13" t="s">
        <v>1148</v>
      </c>
      <c r="C13" t="s">
        <v>1160</v>
      </c>
    </row>
    <row r="14" spans="1:3">
      <c r="A14" t="s">
        <v>683</v>
      </c>
      <c r="B14" t="s">
        <v>1148</v>
      </c>
      <c r="C14" t="s">
        <v>1161</v>
      </c>
    </row>
    <row r="15" spans="1:3">
      <c r="A15" t="s">
        <v>614</v>
      </c>
      <c r="B15" t="s">
        <v>1148</v>
      </c>
      <c r="C15" t="s">
        <v>1162</v>
      </c>
    </row>
    <row r="16" spans="1:3">
      <c r="A16" t="s">
        <v>603</v>
      </c>
      <c r="B16" t="s">
        <v>1148</v>
      </c>
      <c r="C16" t="s">
        <v>1163</v>
      </c>
    </row>
    <row r="17" spans="1:3">
      <c r="A17" t="s">
        <v>145</v>
      </c>
      <c r="B17" t="s">
        <v>1148</v>
      </c>
      <c r="C17" t="s">
        <v>1164</v>
      </c>
    </row>
    <row r="18" spans="1:3">
      <c r="A18" t="s">
        <v>691</v>
      </c>
      <c r="B18" t="s">
        <v>1148</v>
      </c>
      <c r="C18" t="s">
        <v>1165</v>
      </c>
    </row>
    <row r="19" spans="1:3">
      <c r="A19" t="s">
        <v>759</v>
      </c>
      <c r="B19" t="s">
        <v>1148</v>
      </c>
      <c r="C19" t="s">
        <v>1166</v>
      </c>
    </row>
    <row r="20" spans="1:3">
      <c r="A20" t="s">
        <v>455</v>
      </c>
      <c r="B20" t="s">
        <v>1148</v>
      </c>
      <c r="C20" t="s">
        <v>1167</v>
      </c>
    </row>
    <row r="21" spans="1:3">
      <c r="A21" t="s">
        <v>1005</v>
      </c>
      <c r="B21" t="s">
        <v>1148</v>
      </c>
      <c r="C21" t="s">
        <v>1168</v>
      </c>
    </row>
    <row r="22" spans="1:3">
      <c r="A22" t="s">
        <v>530</v>
      </c>
      <c r="B22" t="s">
        <v>1148</v>
      </c>
      <c r="C22" t="s">
        <v>1169</v>
      </c>
    </row>
    <row r="23" spans="1:3">
      <c r="A23" t="s">
        <v>189</v>
      </c>
      <c r="B23" t="s">
        <v>1148</v>
      </c>
      <c r="C23" t="s">
        <v>1170</v>
      </c>
    </row>
    <row r="24" spans="1:3">
      <c r="A24" t="s">
        <v>83</v>
      </c>
      <c r="B24" t="s">
        <v>1148</v>
      </c>
      <c r="C24" t="s">
        <v>1171</v>
      </c>
    </row>
    <row r="25" spans="1:3">
      <c r="A25" t="s">
        <v>422</v>
      </c>
      <c r="B25" t="s">
        <v>1148</v>
      </c>
      <c r="C25" t="s">
        <v>1172</v>
      </c>
    </row>
    <row r="26" spans="1:3">
      <c r="A26" t="s">
        <v>584</v>
      </c>
      <c r="B26" t="s">
        <v>1148</v>
      </c>
      <c r="C26" t="s">
        <v>1173</v>
      </c>
    </row>
    <row r="27" spans="1:3">
      <c r="A27" t="s">
        <v>238</v>
      </c>
      <c r="B27" t="s">
        <v>1148</v>
      </c>
      <c r="C27" t="s">
        <v>1174</v>
      </c>
    </row>
    <row r="28" spans="1:3">
      <c r="A28" t="s">
        <v>598</v>
      </c>
      <c r="B28" t="s">
        <v>1148</v>
      </c>
      <c r="C28" t="s">
        <v>1175</v>
      </c>
    </row>
    <row r="29" spans="1:3">
      <c r="A29" t="s">
        <v>15</v>
      </c>
      <c r="B29" t="s">
        <v>1176</v>
      </c>
      <c r="C29" t="s">
        <v>1177</v>
      </c>
    </row>
    <row r="30" spans="1:3">
      <c r="A30" t="s">
        <v>121</v>
      </c>
      <c r="B30" t="s">
        <v>1176</v>
      </c>
      <c r="C30" t="s">
        <v>1178</v>
      </c>
    </row>
    <row r="31" spans="1:3">
      <c r="A31" t="s">
        <v>336</v>
      </c>
      <c r="B31" t="s">
        <v>1176</v>
      </c>
      <c r="C31" t="s">
        <v>1179</v>
      </c>
    </row>
    <row r="32" spans="1:3">
      <c r="A32" t="s">
        <v>248</v>
      </c>
      <c r="B32" t="s">
        <v>1176</v>
      </c>
      <c r="C32" t="s">
        <v>1180</v>
      </c>
    </row>
    <row r="33" spans="1:3">
      <c r="A33" t="s">
        <v>213</v>
      </c>
      <c r="B33" t="s">
        <v>1176</v>
      </c>
      <c r="C33" t="s">
        <v>1181</v>
      </c>
    </row>
    <row r="34" spans="1:3">
      <c r="A34" t="s">
        <v>656</v>
      </c>
      <c r="B34" t="s">
        <v>1176</v>
      </c>
      <c r="C34" t="s">
        <v>1182</v>
      </c>
    </row>
    <row r="35" spans="1:3">
      <c r="A35" t="s">
        <v>995</v>
      </c>
      <c r="B35" t="s">
        <v>1176</v>
      </c>
      <c r="C35" t="s">
        <v>1183</v>
      </c>
    </row>
    <row r="36" spans="1:3">
      <c r="A36" t="s">
        <v>366</v>
      </c>
      <c r="B36" t="s">
        <v>1176</v>
      </c>
      <c r="C36" t="s">
        <v>1184</v>
      </c>
    </row>
    <row r="37" spans="1:3">
      <c r="A37" t="s">
        <v>58</v>
      </c>
      <c r="B37" t="s">
        <v>1176</v>
      </c>
      <c r="C37" t="s">
        <v>1185</v>
      </c>
    </row>
    <row r="38" spans="1:3">
      <c r="A38" t="s">
        <v>286</v>
      </c>
      <c r="B38" t="s">
        <v>1176</v>
      </c>
      <c r="C38" t="s">
        <v>1186</v>
      </c>
    </row>
    <row r="39" spans="1:3">
      <c r="A39" t="s">
        <v>987</v>
      </c>
      <c r="B39" t="s">
        <v>1176</v>
      </c>
      <c r="C39" t="s">
        <v>1187</v>
      </c>
    </row>
    <row r="40" spans="1:3">
      <c r="A40" t="s">
        <v>225</v>
      </c>
      <c r="B40" t="s">
        <v>1176</v>
      </c>
      <c r="C40" t="s">
        <v>1188</v>
      </c>
    </row>
    <row r="41" spans="1:3">
      <c r="A41" t="s">
        <v>568</v>
      </c>
      <c r="B41" t="s">
        <v>1176</v>
      </c>
      <c r="C41" t="s">
        <v>1189</v>
      </c>
    </row>
    <row r="42" spans="1:3">
      <c r="A42" t="s">
        <v>149</v>
      </c>
      <c r="B42" t="s">
        <v>1176</v>
      </c>
      <c r="C42" t="s">
        <v>1190</v>
      </c>
    </row>
    <row r="43" spans="1:3">
      <c r="A43" t="s">
        <v>398</v>
      </c>
      <c r="B43" t="s">
        <v>1176</v>
      </c>
      <c r="C43" t="s">
        <v>1191</v>
      </c>
    </row>
    <row r="44" spans="1:3">
      <c r="A44" t="s">
        <v>162</v>
      </c>
      <c r="B44" t="s">
        <v>1176</v>
      </c>
      <c r="C44" t="s">
        <v>1192</v>
      </c>
    </row>
    <row r="45" spans="1:3">
      <c r="A45" t="s">
        <v>525</v>
      </c>
      <c r="B45" t="s">
        <v>1176</v>
      </c>
      <c r="C45" t="s">
        <v>1193</v>
      </c>
    </row>
    <row r="46" spans="1:3">
      <c r="A46" t="s">
        <v>100</v>
      </c>
      <c r="B46" t="s">
        <v>1176</v>
      </c>
      <c r="C46" t="s">
        <v>1194</v>
      </c>
    </row>
    <row r="47" spans="1:3">
      <c r="A47" t="s">
        <v>674</v>
      </c>
      <c r="B47" t="s">
        <v>1176</v>
      </c>
      <c r="C47" t="s">
        <v>1195</v>
      </c>
    </row>
    <row r="48" spans="1:3">
      <c r="A48" t="s">
        <v>21</v>
      </c>
      <c r="B48" t="s">
        <v>1176</v>
      </c>
      <c r="C48" t="s">
        <v>1196</v>
      </c>
    </row>
    <row r="49" spans="1:3">
      <c r="A49" t="s">
        <v>749</v>
      </c>
      <c r="B49" t="s">
        <v>1197</v>
      </c>
      <c r="C49" t="s">
        <v>1198</v>
      </c>
    </row>
    <row r="50" spans="1:3">
      <c r="A50" t="s">
        <v>1080</v>
      </c>
      <c r="B50" t="s">
        <v>1197</v>
      </c>
      <c r="C50" t="s">
        <v>1199</v>
      </c>
    </row>
    <row r="51" spans="1:3">
      <c r="A51" t="s">
        <v>351</v>
      </c>
      <c r="B51" t="s">
        <v>1197</v>
      </c>
      <c r="C51" t="s">
        <v>1200</v>
      </c>
    </row>
    <row r="52" spans="1:3">
      <c r="A52" t="s">
        <v>742</v>
      </c>
      <c r="B52" t="s">
        <v>1197</v>
      </c>
      <c r="C52" t="s">
        <v>1201</v>
      </c>
    </row>
    <row r="53" spans="1:3">
      <c r="A53" t="s">
        <v>773</v>
      </c>
      <c r="B53" t="s">
        <v>1197</v>
      </c>
      <c r="C53" t="s">
        <v>1202</v>
      </c>
    </row>
    <row r="54" spans="1:3">
      <c r="A54" t="s">
        <v>833</v>
      </c>
      <c r="B54" t="s">
        <v>1197</v>
      </c>
      <c r="C54" t="s">
        <v>1203</v>
      </c>
    </row>
    <row r="55" spans="1:3">
      <c r="A55" t="s">
        <v>720</v>
      </c>
      <c r="B55" t="s">
        <v>1197</v>
      </c>
      <c r="C55" t="s">
        <v>1204</v>
      </c>
    </row>
    <row r="56" spans="1:3">
      <c r="A56" t="s">
        <v>327</v>
      </c>
      <c r="B56" t="s">
        <v>1197</v>
      </c>
      <c r="C56" t="s">
        <v>1205</v>
      </c>
    </row>
    <row r="57" spans="1:3">
      <c r="A57" t="s">
        <v>822</v>
      </c>
      <c r="B57" t="s">
        <v>1197</v>
      </c>
      <c r="C57" t="s">
        <v>1206</v>
      </c>
    </row>
    <row r="58" spans="1:3">
      <c r="A58" t="s">
        <v>323</v>
      </c>
      <c r="B58" t="s">
        <v>1197</v>
      </c>
      <c r="C58" t="s">
        <v>1207</v>
      </c>
    </row>
    <row r="59" spans="1:3">
      <c r="A59" t="s">
        <v>381</v>
      </c>
      <c r="B59" t="s">
        <v>1197</v>
      </c>
      <c r="C59" t="s">
        <v>1208</v>
      </c>
    </row>
    <row r="60" spans="1:3">
      <c r="A60" t="s">
        <v>795</v>
      </c>
      <c r="B60" t="s">
        <v>1197</v>
      </c>
      <c r="C60" t="s">
        <v>1209</v>
      </c>
    </row>
    <row r="61" spans="1:3">
      <c r="A61" t="s">
        <v>647</v>
      </c>
      <c r="B61" t="s">
        <v>1197</v>
      </c>
      <c r="C61" t="s">
        <v>1210</v>
      </c>
    </row>
    <row r="62" spans="1:3">
      <c r="A62" t="s">
        <v>207</v>
      </c>
      <c r="B62" t="s">
        <v>1197</v>
      </c>
      <c r="C62" t="s">
        <v>1211</v>
      </c>
    </row>
    <row r="63" spans="1:3">
      <c r="A63" t="s">
        <v>727</v>
      </c>
      <c r="B63" t="s">
        <v>1197</v>
      </c>
      <c r="C63" t="s">
        <v>1212</v>
      </c>
    </row>
    <row r="64" spans="1:3">
      <c r="A64" t="s">
        <v>63</v>
      </c>
      <c r="B64" t="s">
        <v>1197</v>
      </c>
      <c r="C64" t="s">
        <v>1213</v>
      </c>
    </row>
    <row r="65" spans="1:3">
      <c r="A65" t="s">
        <v>811</v>
      </c>
      <c r="B65" t="s">
        <v>1197</v>
      </c>
      <c r="C65" t="s">
        <v>1214</v>
      </c>
    </row>
    <row r="66" spans="1:3">
      <c r="A66" t="s">
        <v>194</v>
      </c>
      <c r="B66" t="s">
        <v>1197</v>
      </c>
      <c r="C66" t="s">
        <v>1215</v>
      </c>
    </row>
    <row r="67" spans="1:3">
      <c r="A67" t="s">
        <v>546</v>
      </c>
      <c r="B67" t="s">
        <v>1197</v>
      </c>
      <c r="C67" t="s">
        <v>1216</v>
      </c>
    </row>
    <row r="68" spans="1:3">
      <c r="A68" t="s">
        <v>31</v>
      </c>
      <c r="B68" t="s">
        <v>1197</v>
      </c>
      <c r="C68" t="s">
        <v>1217</v>
      </c>
    </row>
    <row r="69" spans="1:3">
      <c r="A69" t="s">
        <v>276</v>
      </c>
      <c r="B69" t="s">
        <v>1197</v>
      </c>
      <c r="C69" t="s">
        <v>1218</v>
      </c>
    </row>
    <row r="70" spans="1:3">
      <c r="A70" t="s">
        <v>141</v>
      </c>
      <c r="B70" t="s">
        <v>1197</v>
      </c>
      <c r="C70" t="s">
        <v>1219</v>
      </c>
    </row>
    <row r="71" spans="1:3">
      <c r="A71" t="s">
        <v>377</v>
      </c>
      <c r="B71" t="s">
        <v>1220</v>
      </c>
      <c r="C71" t="s">
        <v>1221</v>
      </c>
    </row>
    <row r="72" spans="1:3">
      <c r="A72" t="s">
        <v>553</v>
      </c>
      <c r="B72" t="s">
        <v>1220</v>
      </c>
      <c r="C72" t="s">
        <v>1222</v>
      </c>
    </row>
    <row r="73" spans="1:3">
      <c r="A73" t="s">
        <v>407</v>
      </c>
      <c r="B73" t="s">
        <v>1220</v>
      </c>
      <c r="C73" t="s">
        <v>1223</v>
      </c>
    </row>
    <row r="74" spans="1:3">
      <c r="A74" t="s">
        <v>717</v>
      </c>
      <c r="B74" t="s">
        <v>1220</v>
      </c>
      <c r="C74" t="s">
        <v>1224</v>
      </c>
    </row>
    <row r="75" spans="1:3">
      <c r="A75" t="s">
        <v>909</v>
      </c>
      <c r="B75" t="s">
        <v>1220</v>
      </c>
      <c r="C75" t="s">
        <v>1225</v>
      </c>
    </row>
    <row r="76" spans="1:3">
      <c r="A76" t="s">
        <v>37</v>
      </c>
      <c r="B76" t="s">
        <v>1220</v>
      </c>
      <c r="C76" t="s">
        <v>1226</v>
      </c>
    </row>
    <row r="77" spans="1:3">
      <c r="A77" t="s">
        <v>581</v>
      </c>
      <c r="B77" t="s">
        <v>1220</v>
      </c>
      <c r="C77" t="s">
        <v>1227</v>
      </c>
    </row>
    <row r="78" spans="1:3">
      <c r="A78" t="s">
        <v>573</v>
      </c>
      <c r="B78" t="s">
        <v>1220</v>
      </c>
      <c r="C78" t="s">
        <v>1228</v>
      </c>
    </row>
    <row r="79" spans="1:3">
      <c r="A79" t="s">
        <v>356</v>
      </c>
      <c r="B79" t="s">
        <v>1220</v>
      </c>
      <c r="C79" t="s">
        <v>1229</v>
      </c>
    </row>
    <row r="80" spans="1:3">
      <c r="A80" t="s">
        <v>513</v>
      </c>
      <c r="B80" t="s">
        <v>1220</v>
      </c>
      <c r="C80" t="s">
        <v>1230</v>
      </c>
    </row>
    <row r="81" spans="1:3">
      <c r="A81" t="s">
        <v>521</v>
      </c>
      <c r="B81" t="s">
        <v>1220</v>
      </c>
      <c r="C81" t="s">
        <v>1231</v>
      </c>
    </row>
    <row r="82" spans="1:3">
      <c r="A82" t="s">
        <v>403</v>
      </c>
      <c r="B82" t="s">
        <v>1220</v>
      </c>
      <c r="C82" t="s">
        <v>1232</v>
      </c>
    </row>
    <row r="83" spans="1:3">
      <c r="A83" t="s">
        <v>517</v>
      </c>
      <c r="B83" t="s">
        <v>1220</v>
      </c>
      <c r="C83" t="s">
        <v>1233</v>
      </c>
    </row>
    <row r="84" spans="1:3">
      <c r="A84" t="s">
        <v>537</v>
      </c>
      <c r="B84" t="s">
        <v>1220</v>
      </c>
      <c r="C84" t="s">
        <v>1234</v>
      </c>
    </row>
    <row r="85" spans="1:3">
      <c r="A85" t="s">
        <v>991</v>
      </c>
      <c r="B85" t="s">
        <v>1220</v>
      </c>
      <c r="C85" t="s">
        <v>1235</v>
      </c>
    </row>
    <row r="86" spans="1:3">
      <c r="A86" t="s">
        <v>51</v>
      </c>
      <c r="B86" t="s">
        <v>1220</v>
      </c>
      <c r="C86" t="s">
        <v>1236</v>
      </c>
    </row>
    <row r="87" spans="1:3">
      <c r="A87" t="s">
        <v>78</v>
      </c>
      <c r="B87" t="s">
        <v>1220</v>
      </c>
      <c r="C87" t="s">
        <v>1237</v>
      </c>
    </row>
    <row r="88" spans="1:3">
      <c r="A88" t="s">
        <v>491</v>
      </c>
      <c r="B88" t="s">
        <v>1220</v>
      </c>
      <c r="C88" t="s">
        <v>1238</v>
      </c>
    </row>
    <row r="89" spans="1:3">
      <c r="A89" t="s">
        <v>172</v>
      </c>
      <c r="B89" t="s">
        <v>1220</v>
      </c>
      <c r="C89" t="s">
        <v>1239</v>
      </c>
    </row>
    <row r="90" spans="1:3">
      <c r="A90" t="s">
        <v>125</v>
      </c>
      <c r="B90" t="s">
        <v>1220</v>
      </c>
      <c r="C90" t="s">
        <v>1240</v>
      </c>
    </row>
    <row r="91" spans="1:3">
      <c r="A91" t="s">
        <v>371</v>
      </c>
      <c r="B91" t="s">
        <v>1220</v>
      </c>
      <c r="C91" t="s">
        <v>1241</v>
      </c>
    </row>
    <row r="92" spans="1:3">
      <c r="A92" t="s">
        <v>925</v>
      </c>
      <c r="B92" t="s">
        <v>1220</v>
      </c>
      <c r="C92" t="s">
        <v>1242</v>
      </c>
    </row>
    <row r="93" spans="1:3">
      <c r="A93" t="s">
        <v>745</v>
      </c>
      <c r="B93" t="s">
        <v>1220</v>
      </c>
      <c r="C93" t="s">
        <v>1243</v>
      </c>
    </row>
    <row r="94" spans="1:3">
      <c r="A94" t="s">
        <v>485</v>
      </c>
      <c r="B94" t="s">
        <v>1220</v>
      </c>
      <c r="C94" t="s">
        <v>1244</v>
      </c>
    </row>
    <row r="95" spans="1:3">
      <c r="A95" t="s">
        <v>713</v>
      </c>
      <c r="B95" t="s">
        <v>1220</v>
      </c>
      <c r="C95" t="s">
        <v>1245</v>
      </c>
    </row>
    <row r="96" spans="1:3">
      <c r="A96" t="s">
        <v>105</v>
      </c>
      <c r="B96" t="s">
        <v>1220</v>
      </c>
      <c r="C96" t="s">
        <v>1246</v>
      </c>
    </row>
    <row r="97" spans="1:3">
      <c r="A97" t="s">
        <v>1247</v>
      </c>
      <c r="B97" t="s">
        <v>1220</v>
      </c>
      <c r="C97" t="s">
        <v>1248</v>
      </c>
    </row>
    <row r="98" spans="1:3">
      <c r="A98" t="s">
        <v>88</v>
      </c>
      <c r="B98" t="s">
        <v>1249</v>
      </c>
      <c r="C98" t="s">
        <v>1250</v>
      </c>
    </row>
    <row r="99" spans="1:3">
      <c r="A99" t="s">
        <v>262</v>
      </c>
      <c r="B99" t="s">
        <v>1249</v>
      </c>
      <c r="C99" t="s">
        <v>1251</v>
      </c>
    </row>
    <row r="100" spans="1:3">
      <c r="A100" t="s">
        <v>299</v>
      </c>
      <c r="B100" t="s">
        <v>1249</v>
      </c>
      <c r="C100" t="s">
        <v>1252</v>
      </c>
    </row>
    <row r="101" spans="1:3">
      <c r="A101" t="s">
        <v>564</v>
      </c>
      <c r="B101" t="s">
        <v>1249</v>
      </c>
      <c r="C101" t="s">
        <v>1253</v>
      </c>
    </row>
    <row r="102" spans="1:3">
      <c r="A102" t="s">
        <v>446</v>
      </c>
      <c r="B102" t="s">
        <v>1249</v>
      </c>
      <c r="C102" t="s">
        <v>1254</v>
      </c>
    </row>
    <row r="103" spans="1:3">
      <c r="A103" t="s">
        <v>73</v>
      </c>
      <c r="B103" t="s">
        <v>1249</v>
      </c>
      <c r="C103" t="s">
        <v>1255</v>
      </c>
    </row>
    <row r="104" spans="1:3">
      <c r="A104" t="s">
        <v>1256</v>
      </c>
      <c r="B104" t="s">
        <v>1249</v>
      </c>
      <c r="C104" t="s">
        <v>1257</v>
      </c>
    </row>
    <row r="105" spans="1:3">
      <c r="A105" t="s">
        <v>964</v>
      </c>
      <c r="B105" t="s">
        <v>1249</v>
      </c>
      <c r="C105" t="s">
        <v>1258</v>
      </c>
    </row>
    <row r="106" spans="1:3">
      <c r="A106" t="s">
        <v>558</v>
      </c>
      <c r="B106" t="s">
        <v>1249</v>
      </c>
      <c r="C106" t="s">
        <v>1259</v>
      </c>
    </row>
    <row r="107" spans="1:3">
      <c r="A107" t="s">
        <v>1045</v>
      </c>
      <c r="B107" t="s">
        <v>1249</v>
      </c>
      <c r="C107" t="s">
        <v>1260</v>
      </c>
    </row>
    <row r="108" spans="1:3">
      <c r="A108" t="s">
        <v>977</v>
      </c>
      <c r="B108" t="s">
        <v>1249</v>
      </c>
      <c r="C108" t="s">
        <v>1261</v>
      </c>
    </row>
    <row r="109" spans="1:3">
      <c r="A109" t="s">
        <v>576</v>
      </c>
      <c r="B109" t="s">
        <v>1249</v>
      </c>
      <c r="C109" t="s">
        <v>1262</v>
      </c>
    </row>
    <row r="110" spans="1:3">
      <c r="A110" t="s">
        <v>109</v>
      </c>
      <c r="B110" t="s">
        <v>1249</v>
      </c>
      <c r="C110" t="s">
        <v>1263</v>
      </c>
    </row>
    <row r="111" spans="1:3">
      <c r="A111" t="s">
        <v>361</v>
      </c>
      <c r="B111" t="s">
        <v>1249</v>
      </c>
      <c r="C111" t="s">
        <v>1264</v>
      </c>
    </row>
    <row r="112" spans="1:3">
      <c r="A112" t="s">
        <v>155</v>
      </c>
      <c r="B112" t="s">
        <v>1249</v>
      </c>
      <c r="C112" t="s">
        <v>1265</v>
      </c>
    </row>
    <row r="113" spans="1:3">
      <c r="A113" t="s">
        <v>93</v>
      </c>
      <c r="B113" t="s">
        <v>1249</v>
      </c>
      <c r="C113" t="s">
        <v>1266</v>
      </c>
    </row>
    <row r="114" spans="1:3">
      <c r="A114" t="s">
        <v>392</v>
      </c>
      <c r="B114" t="s">
        <v>1249</v>
      </c>
      <c r="C114" t="s">
        <v>1267</v>
      </c>
    </row>
    <row r="115" spans="1:3">
      <c r="A115" t="s">
        <v>1268</v>
      </c>
      <c r="B115" t="s">
        <v>1249</v>
      </c>
      <c r="C115" t="s">
        <v>1269</v>
      </c>
    </row>
    <row r="116" spans="1:3">
      <c r="A116" t="s">
        <v>307</v>
      </c>
      <c r="B116" t="s">
        <v>1249</v>
      </c>
      <c r="C116" t="s">
        <v>1270</v>
      </c>
    </row>
    <row r="117" spans="1:3">
      <c r="A117" t="s">
        <v>230</v>
      </c>
      <c r="B117" t="s">
        <v>1271</v>
      </c>
      <c r="C117" t="s">
        <v>1272</v>
      </c>
    </row>
    <row r="118" spans="1:3">
      <c r="A118" t="s">
        <v>347</v>
      </c>
      <c r="B118" t="s">
        <v>1271</v>
      </c>
      <c r="C118" t="s">
        <v>1273</v>
      </c>
    </row>
    <row r="119" spans="1:3">
      <c r="A119" t="s">
        <v>282</v>
      </c>
      <c r="B119" t="s">
        <v>1271</v>
      </c>
      <c r="C119" t="s">
        <v>1274</v>
      </c>
    </row>
    <row r="120" spans="1:3">
      <c r="A120" t="s">
        <v>803</v>
      </c>
      <c r="B120" t="s">
        <v>1271</v>
      </c>
      <c r="C120" t="s">
        <v>1275</v>
      </c>
    </row>
    <row r="121" spans="1:3">
      <c r="A121" t="s">
        <v>687</v>
      </c>
      <c r="B121" t="s">
        <v>1271</v>
      </c>
      <c r="C121" t="s">
        <v>1276</v>
      </c>
    </row>
    <row r="122" spans="1:3">
      <c r="A122" t="s">
        <v>505</v>
      </c>
      <c r="B122" t="s">
        <v>1271</v>
      </c>
      <c r="C122" t="s">
        <v>1277</v>
      </c>
    </row>
    <row r="123" spans="1:3">
      <c r="A123" t="s">
        <v>257</v>
      </c>
      <c r="B123" t="s">
        <v>1271</v>
      </c>
      <c r="C123" t="s">
        <v>1278</v>
      </c>
    </row>
    <row r="124" spans="1:3">
      <c r="A124" t="s">
        <v>777</v>
      </c>
      <c r="B124" t="s">
        <v>1271</v>
      </c>
      <c r="C124" t="s">
        <v>1279</v>
      </c>
    </row>
    <row r="125" spans="1:3">
      <c r="A125" t="s">
        <v>114</v>
      </c>
      <c r="B125" t="s">
        <v>1271</v>
      </c>
      <c r="C125" t="s">
        <v>1280</v>
      </c>
    </row>
    <row r="126" spans="1:3">
      <c r="A126" t="s">
        <v>180</v>
      </c>
      <c r="B126" t="s">
        <v>1271</v>
      </c>
      <c r="C126" t="s">
        <v>1281</v>
      </c>
    </row>
    <row r="127" spans="1:3">
      <c r="A127" t="s">
        <v>1282</v>
      </c>
      <c r="B127" t="s">
        <v>1271</v>
      </c>
      <c r="C127" t="s">
        <v>1283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selection activeCell="G20" sqref="G20"/>
    </sheetView>
  </sheetViews>
  <sheetFormatPr defaultColWidth="9.02727272727273" defaultRowHeight="14.5" outlineLevelCol="4"/>
  <cols>
    <col min="2" max="3" width="12.7545454545455" customWidth="1"/>
  </cols>
  <sheetData>
    <row r="1" spans="1:5">
      <c r="A1" s="4" t="s">
        <v>1284</v>
      </c>
      <c r="B1" s="4" t="s">
        <v>1285</v>
      </c>
      <c r="C1" s="4" t="s">
        <v>1286</v>
      </c>
      <c r="D1" s="4" t="s">
        <v>1287</v>
      </c>
      <c r="E1" s="4" t="s">
        <v>1288</v>
      </c>
    </row>
    <row r="2" spans="1:5">
      <c r="A2" s="5">
        <v>1</v>
      </c>
      <c r="B2" s="5">
        <v>200</v>
      </c>
      <c r="C2" s="5">
        <v>500</v>
      </c>
      <c r="D2" s="5">
        <v>200</v>
      </c>
      <c r="E2" s="5">
        <v>500</v>
      </c>
    </row>
    <row r="3" spans="1:5">
      <c r="A3" s="5">
        <v>2</v>
      </c>
      <c r="B3" s="5">
        <v>200</v>
      </c>
      <c r="C3" s="5">
        <v>500</v>
      </c>
      <c r="D3" s="5">
        <v>200</v>
      </c>
      <c r="E3" s="5">
        <v>500</v>
      </c>
    </row>
    <row r="4" spans="1:5">
      <c r="A4" s="5">
        <v>3</v>
      </c>
      <c r="B4" s="5">
        <v>200</v>
      </c>
      <c r="C4" s="5">
        <v>500</v>
      </c>
      <c r="D4" s="5">
        <v>200</v>
      </c>
      <c r="E4" s="5">
        <v>500</v>
      </c>
    </row>
    <row r="5" spans="1:5">
      <c r="A5" s="5">
        <v>4</v>
      </c>
      <c r="B5" s="5">
        <v>200</v>
      </c>
      <c r="C5" s="5">
        <v>500</v>
      </c>
      <c r="D5" s="5">
        <v>200</v>
      </c>
      <c r="E5" s="5">
        <v>500</v>
      </c>
    </row>
    <row r="6" spans="1:5">
      <c r="A6" s="5">
        <v>5</v>
      </c>
      <c r="B6" s="5">
        <v>200</v>
      </c>
      <c r="C6" s="5">
        <v>500</v>
      </c>
      <c r="D6" s="5">
        <v>200</v>
      </c>
      <c r="E6" s="5">
        <v>500</v>
      </c>
    </row>
    <row r="7" spans="1:5">
      <c r="A7" s="5">
        <v>6</v>
      </c>
      <c r="B7" s="5">
        <v>200</v>
      </c>
      <c r="C7" s="5">
        <v>500</v>
      </c>
      <c r="D7" s="5">
        <v>200</v>
      </c>
      <c r="E7" s="5">
        <v>500</v>
      </c>
    </row>
    <row r="8" spans="1:5">
      <c r="A8" s="5">
        <v>7</v>
      </c>
      <c r="B8" s="5">
        <v>200</v>
      </c>
      <c r="C8" s="5">
        <v>500</v>
      </c>
      <c r="D8" s="5">
        <v>200</v>
      </c>
      <c r="E8" s="5">
        <v>500</v>
      </c>
    </row>
    <row r="9" spans="1:5">
      <c r="A9" s="5">
        <v>8</v>
      </c>
      <c r="B9" s="5">
        <v>200</v>
      </c>
      <c r="C9" s="5">
        <v>500</v>
      </c>
      <c r="D9" s="5">
        <v>200</v>
      </c>
      <c r="E9" s="5">
        <v>500</v>
      </c>
    </row>
    <row r="10" spans="1:5">
      <c r="A10" s="5">
        <v>9</v>
      </c>
      <c r="B10" s="5">
        <v>200</v>
      </c>
      <c r="C10" s="5">
        <v>500</v>
      </c>
      <c r="D10" s="5">
        <v>200</v>
      </c>
      <c r="E10" s="5">
        <v>500</v>
      </c>
    </row>
    <row r="11" spans="1:5">
      <c r="A11" s="5">
        <v>10</v>
      </c>
      <c r="B11" s="5">
        <v>200</v>
      </c>
      <c r="C11" s="5">
        <v>500</v>
      </c>
      <c r="D11" s="5">
        <v>200</v>
      </c>
      <c r="E11" s="5">
        <v>500</v>
      </c>
    </row>
    <row r="12" spans="1:5">
      <c r="A12" s="5">
        <v>11</v>
      </c>
      <c r="B12" s="5">
        <v>200</v>
      </c>
      <c r="C12" s="5">
        <v>500</v>
      </c>
      <c r="D12" s="5">
        <v>200</v>
      </c>
      <c r="E12" s="5">
        <v>500</v>
      </c>
    </row>
    <row r="13" spans="1:5">
      <c r="A13" s="5">
        <v>12</v>
      </c>
      <c r="B13" s="5">
        <v>200</v>
      </c>
      <c r="C13" s="5">
        <v>500</v>
      </c>
      <c r="D13" s="5">
        <v>200</v>
      </c>
      <c r="E13" s="5">
        <v>500</v>
      </c>
    </row>
    <row r="14" spans="1:5">
      <c r="A14" s="5">
        <v>13</v>
      </c>
      <c r="B14" s="5">
        <v>200</v>
      </c>
      <c r="C14" s="5">
        <v>500</v>
      </c>
      <c r="D14" s="5">
        <v>200</v>
      </c>
      <c r="E14" s="5">
        <v>500</v>
      </c>
    </row>
    <row r="15" spans="1:5">
      <c r="A15" s="5">
        <v>14</v>
      </c>
      <c r="B15" s="5">
        <v>200</v>
      </c>
      <c r="C15" s="5">
        <v>500</v>
      </c>
      <c r="D15" s="5">
        <v>200</v>
      </c>
      <c r="E15" s="5">
        <v>500</v>
      </c>
    </row>
    <row r="16" spans="1:5">
      <c r="A16" s="5">
        <v>15</v>
      </c>
      <c r="B16" s="5">
        <v>200</v>
      </c>
      <c r="C16" s="5">
        <v>500</v>
      </c>
      <c r="D16" s="5">
        <v>200</v>
      </c>
      <c r="E16" s="5">
        <v>500</v>
      </c>
    </row>
    <row r="17" spans="1:5">
      <c r="A17" s="5">
        <v>16</v>
      </c>
      <c r="B17" s="5">
        <v>200</v>
      </c>
      <c r="C17" s="5">
        <v>500</v>
      </c>
      <c r="D17" s="5">
        <v>200</v>
      </c>
      <c r="E17" s="5">
        <v>500</v>
      </c>
    </row>
    <row r="18" spans="1:5">
      <c r="A18" s="5">
        <v>17</v>
      </c>
      <c r="B18" s="5">
        <v>200</v>
      </c>
      <c r="C18" s="5">
        <v>500</v>
      </c>
      <c r="D18" s="5">
        <v>200</v>
      </c>
      <c r="E18" s="5">
        <v>500</v>
      </c>
    </row>
    <row r="19" spans="1:5">
      <c r="A19" s="5">
        <v>18</v>
      </c>
      <c r="B19" s="5">
        <v>200</v>
      </c>
      <c r="C19" s="5">
        <v>500</v>
      </c>
      <c r="D19" s="5">
        <v>200</v>
      </c>
      <c r="E19" s="5">
        <v>500</v>
      </c>
    </row>
    <row r="20" spans="1:5">
      <c r="A20" s="5">
        <v>19</v>
      </c>
      <c r="B20" s="5">
        <v>200</v>
      </c>
      <c r="C20" s="5">
        <v>500</v>
      </c>
      <c r="D20" s="5">
        <v>200</v>
      </c>
      <c r="E20" s="5">
        <v>500</v>
      </c>
    </row>
    <row r="21" spans="1:5">
      <c r="A21" s="5">
        <v>20</v>
      </c>
      <c r="B21" s="5">
        <v>200</v>
      </c>
      <c r="C21" s="5">
        <v>500</v>
      </c>
      <c r="D21" s="5">
        <v>200</v>
      </c>
      <c r="E21" s="5">
        <v>500</v>
      </c>
    </row>
    <row r="22" spans="1:5">
      <c r="A22" s="5">
        <v>21</v>
      </c>
      <c r="B22" s="5">
        <v>200</v>
      </c>
      <c r="C22" s="5">
        <v>500</v>
      </c>
      <c r="D22" s="5">
        <v>200</v>
      </c>
      <c r="E22" s="5">
        <v>500</v>
      </c>
    </row>
    <row r="23" spans="1:5">
      <c r="A23" s="5">
        <v>22</v>
      </c>
      <c r="B23" s="5">
        <v>200</v>
      </c>
      <c r="C23" s="5">
        <v>500</v>
      </c>
      <c r="D23" s="5">
        <v>200</v>
      </c>
      <c r="E23" s="5">
        <v>500</v>
      </c>
    </row>
    <row r="24" spans="1:5">
      <c r="A24" s="5">
        <v>23</v>
      </c>
      <c r="B24" s="5">
        <v>200</v>
      </c>
      <c r="C24" s="5">
        <v>500</v>
      </c>
      <c r="D24" s="5">
        <v>200</v>
      </c>
      <c r="E24" s="5">
        <v>500</v>
      </c>
    </row>
    <row r="25" spans="1:5">
      <c r="A25" s="5">
        <v>24</v>
      </c>
      <c r="B25" s="5">
        <v>200</v>
      </c>
      <c r="C25" s="5">
        <v>500</v>
      </c>
      <c r="D25" s="5">
        <v>200</v>
      </c>
      <c r="E25" s="5">
        <v>500</v>
      </c>
    </row>
    <row r="26" spans="1:5">
      <c r="A26" s="5">
        <v>25</v>
      </c>
      <c r="B26" s="5">
        <v>200</v>
      </c>
      <c r="C26" s="5">
        <v>500</v>
      </c>
      <c r="D26" s="5">
        <v>200</v>
      </c>
      <c r="E26" s="5">
        <v>500</v>
      </c>
    </row>
    <row r="27" spans="1:5">
      <c r="A27" s="5">
        <v>26</v>
      </c>
      <c r="B27" s="5">
        <v>200</v>
      </c>
      <c r="C27" s="5">
        <v>500</v>
      </c>
      <c r="D27" s="5">
        <v>200</v>
      </c>
      <c r="E27" s="5">
        <v>500</v>
      </c>
    </row>
    <row r="28" spans="1:5">
      <c r="A28" s="5">
        <v>27</v>
      </c>
      <c r="B28" s="5">
        <v>201</v>
      </c>
      <c r="C28" s="5">
        <v>500</v>
      </c>
      <c r="D28" s="5">
        <v>200</v>
      </c>
      <c r="E28" s="5">
        <v>500</v>
      </c>
    </row>
    <row r="29" spans="1:5">
      <c r="A29" s="5">
        <v>28</v>
      </c>
      <c r="B29" s="5">
        <v>202</v>
      </c>
      <c r="C29" s="5">
        <v>500</v>
      </c>
      <c r="D29" s="5">
        <v>200</v>
      </c>
      <c r="E29" s="5">
        <v>500</v>
      </c>
    </row>
    <row r="30" spans="1:5">
      <c r="A30" s="5">
        <v>29</v>
      </c>
      <c r="B30" s="5">
        <v>203</v>
      </c>
      <c r="C30" s="5">
        <v>500</v>
      </c>
      <c r="D30" s="5">
        <v>200</v>
      </c>
      <c r="E30" s="5">
        <v>500</v>
      </c>
    </row>
    <row r="31" spans="1:5">
      <c r="A31" s="5">
        <v>30</v>
      </c>
      <c r="B31" s="5">
        <v>204</v>
      </c>
      <c r="C31" s="5">
        <v>500</v>
      </c>
      <c r="D31" s="5">
        <v>200</v>
      </c>
      <c r="E31" s="5">
        <v>500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3"/>
  <sheetViews>
    <sheetView workbookViewId="0">
      <selection activeCell="A1" sqref="A1"/>
    </sheetView>
  </sheetViews>
  <sheetFormatPr defaultColWidth="9" defaultRowHeight="14.5" outlineLevelCol="5"/>
  <sheetData>
    <row r="1" spans="1:6">
      <c r="A1" t="s">
        <v>0</v>
      </c>
      <c r="B1" t="s">
        <v>1</v>
      </c>
      <c r="C1" t="s">
        <v>2</v>
      </c>
      <c r="D1" t="s">
        <v>1289</v>
      </c>
      <c r="E1" t="s">
        <v>1290</v>
      </c>
      <c r="F1" t="s">
        <v>1291</v>
      </c>
    </row>
    <row r="2" spans="1:6">
      <c r="A2">
        <f t="shared" ref="A2:A65" si="0">COUNTIF(B:B,B2)</f>
        <v>4</v>
      </c>
      <c r="B2" t="s">
        <v>15</v>
      </c>
      <c r="C2" t="s">
        <v>1292</v>
      </c>
      <c r="D2">
        <f t="shared" ref="D2:D65" si="1">LEN(C2)</f>
        <v>88</v>
      </c>
      <c r="E2">
        <f>_xlfn.XLOOKUP(A2,长度要求!A:A,长度要求!D:D)</f>
        <v>200</v>
      </c>
      <c r="F2" t="str">
        <f t="shared" ref="F2:F65" si="2">IF(D2&lt;E2,C2,LEFT(C2,E2)&amp;"……")</f>
        <v>上海光通信有限公司（英文名 Shanghai GTX Semiconductor Co., Ltd，下称“GTX”），成立于1988年，于2022年初转型进入集成电路制造领域。</v>
      </c>
    </row>
    <row r="3" spans="1:6">
      <c r="A3">
        <f t="shared" si="0"/>
        <v>6</v>
      </c>
      <c r="B3" t="s">
        <v>21</v>
      </c>
      <c r="C3" t="s">
        <v>1293</v>
      </c>
      <c r="D3">
        <f t="shared" si="1"/>
        <v>291</v>
      </c>
      <c r="E3">
        <f>_xlfn.XLOOKUP(A3,长度要求!A:A,长度要求!D:D)</f>
        <v>200</v>
      </c>
      <c r="F3"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4" spans="1:6">
      <c r="A4">
        <f t="shared" si="0"/>
        <v>6</v>
      </c>
      <c r="B4" t="s">
        <v>21</v>
      </c>
      <c r="C4" t="s">
        <v>1293</v>
      </c>
      <c r="D4">
        <f t="shared" si="1"/>
        <v>291</v>
      </c>
      <c r="E4">
        <f>_xlfn.XLOOKUP(A4,长度要求!A:A,长度要求!D:D)</f>
        <v>200</v>
      </c>
      <c r="F4"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5" spans="1:6">
      <c r="A5">
        <f t="shared" si="0"/>
        <v>2</v>
      </c>
      <c r="B5" t="s">
        <v>31</v>
      </c>
      <c r="C5" t="s">
        <v>1294</v>
      </c>
      <c r="D5">
        <f t="shared" si="1"/>
        <v>697</v>
      </c>
      <c r="E5">
        <f>_xlfn.XLOOKUP(A5,长度要求!A:A,长度要求!D:D)</f>
        <v>200</v>
      </c>
      <c r="F5" t="str">
        <f t="shared" si="2"/>
        <v>上海德辰汽车销售公司是北方一大型汽车经销商集团在上海新投资创立的
一汽大众奥迪品牌 4S 店。超越了传统豪华汽车 4S 店的概念，实际具备品牌体
验、车型展示、新车销售、售后服务、二手车置换等多种功能，完备的设施以
及周到的服务一应俱全，体现出国际豪华品牌全球统一的服务水准。 
 该城市展厅坐落于闵行区颛桥地区（颛兴东路 1280 弄 3 号）。地铁、轻轨
均可到达，交通便捷。地址：颛兴东路 ……</v>
      </c>
    </row>
    <row r="6" spans="1:6">
      <c r="A6">
        <f t="shared" si="0"/>
        <v>1</v>
      </c>
      <c r="B6" t="s">
        <v>37</v>
      </c>
      <c r="C6" t="s">
        <v>1295</v>
      </c>
      <c r="D6">
        <f t="shared" si="1"/>
        <v>184</v>
      </c>
      <c r="E6">
        <f>_xlfn.XLOOKUP(A6,长度要求!A:A,长度要求!D:D)</f>
        <v>200</v>
      </c>
      <c r="F6" t="str">
        <f t="shared" si="2"/>
        <v>   西凌第一幼儿园是一所上海市示范性幼儿园、上海市文明单位。地处黄浦区西藏南路，园内幼儿活动场地充裕，环境优美，四季绿化常青，阳光充足，是“上海市花园单位”。我园积极探索围棋与游戏融合的探索，秉持“以人为本，民主和谐，快乐发展”办园宗旨和 “以棋养德、以棋怡情、以棋明理、以棋启智”的教育理念，深受幼儿与家长的喜欢。西凌第一幼儿园已成为孩子们游戏、学习、生活的乐园。</v>
      </c>
    </row>
    <row r="7" spans="1:6">
      <c r="A7">
        <f t="shared" si="0"/>
        <v>6</v>
      </c>
      <c r="B7" t="s">
        <v>21</v>
      </c>
      <c r="C7" t="s">
        <v>1293</v>
      </c>
      <c r="D7">
        <f t="shared" si="1"/>
        <v>291</v>
      </c>
      <c r="E7">
        <f>_xlfn.XLOOKUP(A7,长度要求!A:A,长度要求!D:D)</f>
        <v>200</v>
      </c>
      <c r="F7"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8" spans="1:6">
      <c r="A8">
        <f t="shared" si="0"/>
        <v>6</v>
      </c>
      <c r="B8" t="s">
        <v>21</v>
      </c>
      <c r="C8" t="s">
        <v>1293</v>
      </c>
      <c r="D8">
        <f t="shared" si="1"/>
        <v>291</v>
      </c>
      <c r="E8">
        <f>_xlfn.XLOOKUP(A8,长度要求!A:A,长度要求!D:D)</f>
        <v>200</v>
      </c>
      <c r="F8"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9" spans="1:6">
      <c r="A9">
        <f t="shared" si="0"/>
        <v>6</v>
      </c>
      <c r="B9" t="s">
        <v>21</v>
      </c>
      <c r="C9" t="s">
        <v>1293</v>
      </c>
      <c r="D9">
        <f t="shared" si="1"/>
        <v>291</v>
      </c>
      <c r="E9">
        <f>_xlfn.XLOOKUP(A9,长度要求!A:A,长度要求!D:D)</f>
        <v>200</v>
      </c>
      <c r="F9"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10" spans="1:6">
      <c r="A10">
        <f t="shared" si="0"/>
        <v>6</v>
      </c>
      <c r="B10" t="s">
        <v>21</v>
      </c>
      <c r="C10" t="s">
        <v>1293</v>
      </c>
      <c r="D10">
        <f t="shared" si="1"/>
        <v>291</v>
      </c>
      <c r="E10">
        <f>_xlfn.XLOOKUP(A10,长度要求!A:A,长度要求!D:D)</f>
        <v>200</v>
      </c>
      <c r="F10" t="str">
        <f t="shared" si="2"/>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row>
    <row r="11" spans="1:6">
      <c r="A11">
        <f t="shared" si="0"/>
        <v>2</v>
      </c>
      <c r="B11" t="s">
        <v>51</v>
      </c>
      <c r="C11" t="s">
        <v>52</v>
      </c>
      <c r="D11">
        <f t="shared" si="1"/>
        <v>192</v>
      </c>
      <c r="E11">
        <f>_xlfn.XLOOKUP(A11,长度要求!A:A,长度要求!D:D)</f>
        <v>200</v>
      </c>
      <c r="F11" t="str">
        <f t="shared" si="2"/>
        <v>网鱼创始于1998年，从诞生之初就秉承不断创新的理念，致力于打造多人游戏空间。截至2020年12月31日，网鱼全球会员数超2000万，服务覆盖国内外106个城市。全球拥有超1000家门店，年服务人次超3000万，iG战队倾情代言，是深受全球玩家喜爱的聚玩圣地。2021年推出“网鱼电竞酒店”，正式进军电竞酒店行业，打造跨品类、跨业态、跨平台的综合娱乐型品牌，践行“给用户美好的体验”。</v>
      </c>
    </row>
    <row r="12" spans="1:6">
      <c r="A12">
        <f t="shared" si="0"/>
        <v>2</v>
      </c>
      <c r="B12" t="s">
        <v>51</v>
      </c>
      <c r="C12" t="s">
        <v>52</v>
      </c>
      <c r="D12">
        <f t="shared" si="1"/>
        <v>192</v>
      </c>
      <c r="E12">
        <f>_xlfn.XLOOKUP(A12,长度要求!A:A,长度要求!D:D)</f>
        <v>200</v>
      </c>
      <c r="F12" t="str">
        <f t="shared" si="2"/>
        <v>网鱼创始于1998年，从诞生之初就秉承不断创新的理念，致力于打造多人游戏空间。截至2020年12月31日，网鱼全球会员数超2000万，服务覆盖国内外106个城市。全球拥有超1000家门店，年服务人次超3000万，iG战队倾情代言，是深受全球玩家喜爱的聚玩圣地。2021年推出“网鱼电竞酒店”，正式进军电竞酒店行业，打造跨品类、跨业态、跨平台的综合娱乐型品牌，践行“给用户美好的体验”。</v>
      </c>
    </row>
    <row r="13" spans="1:6">
      <c r="A13">
        <f t="shared" si="0"/>
        <v>4</v>
      </c>
      <c r="B13" t="s">
        <v>58</v>
      </c>
      <c r="C13" t="s">
        <v>1296</v>
      </c>
      <c r="D13">
        <f t="shared" si="1"/>
        <v>162</v>
      </c>
      <c r="E13">
        <f>_xlfn.XLOOKUP(A13,长度要求!A:A,长度要求!D:D)</f>
        <v>200</v>
      </c>
      <c r="F13" t="str">
        <f t="shared" si="2"/>
        <v>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v>
      </c>
    </row>
    <row r="14" spans="1:6">
      <c r="A14">
        <f t="shared" si="0"/>
        <v>5</v>
      </c>
      <c r="B14" t="s">
        <v>63</v>
      </c>
      <c r="C14" t="s">
        <v>1297</v>
      </c>
      <c r="D14">
        <f t="shared" si="1"/>
        <v>444</v>
      </c>
      <c r="E14">
        <f>_xlfn.XLOOKUP(A14,长度要求!A:A,长度要求!D:D)</f>
        <v>200</v>
      </c>
      <c r="F14" t="str">
        <f t="shared" si="2"/>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row>
    <row r="15" spans="1:6">
      <c r="A15">
        <f t="shared" si="0"/>
        <v>4</v>
      </c>
      <c r="B15" t="s">
        <v>15</v>
      </c>
      <c r="C15" t="s">
        <v>1292</v>
      </c>
      <c r="D15">
        <f t="shared" si="1"/>
        <v>88</v>
      </c>
      <c r="E15">
        <f>_xlfn.XLOOKUP(A15,长度要求!A:A,长度要求!D:D)</f>
        <v>200</v>
      </c>
      <c r="F15" t="str">
        <f t="shared" si="2"/>
        <v>上海光通信有限公司（英文名 Shanghai GTX Semiconductor Co., Ltd，下称“GTX”），成立于1988年，于2022年初转型进入集成电路制造领域。</v>
      </c>
    </row>
    <row r="16" spans="1:6">
      <c r="A16">
        <f t="shared" si="0"/>
        <v>4</v>
      </c>
      <c r="B16" t="s">
        <v>15</v>
      </c>
      <c r="C16" t="s">
        <v>1292</v>
      </c>
      <c r="D16">
        <f t="shared" si="1"/>
        <v>88</v>
      </c>
      <c r="E16">
        <f>_xlfn.XLOOKUP(A16,长度要求!A:A,长度要求!D:D)</f>
        <v>200</v>
      </c>
      <c r="F16" t="str">
        <f t="shared" si="2"/>
        <v>上海光通信有限公司（英文名 Shanghai GTX Semiconductor Co., Ltd，下称“GTX”），成立于1988年，于2022年初转型进入集成电路制造领域。</v>
      </c>
    </row>
    <row r="17" spans="1:6">
      <c r="A17">
        <f t="shared" si="0"/>
        <v>7</v>
      </c>
      <c r="B17" t="s">
        <v>73</v>
      </c>
      <c r="C17" t="s">
        <v>74</v>
      </c>
      <c r="D17">
        <f t="shared" si="1"/>
        <v>82</v>
      </c>
      <c r="E17">
        <f>_xlfn.XLOOKUP(A17,长度要求!A:A,长度要求!D:D)</f>
        <v>200</v>
      </c>
      <c r="F17" t="str">
        <f t="shared" si="2"/>
        <v>上海地矿物业管理有限公司隶属于上市市规划和自然资源局。上海地矿物业管理有限公司城市规划展示馆项目。上海城市规划展示馆市国内售价以展示城市规划与发展为主题专业性场馆。</v>
      </c>
    </row>
    <row r="18" spans="1:6">
      <c r="A18">
        <f t="shared" si="0"/>
        <v>6</v>
      </c>
      <c r="B18" t="s">
        <v>78</v>
      </c>
      <c r="C18" t="s">
        <v>1298</v>
      </c>
      <c r="D18">
        <f t="shared" si="1"/>
        <v>353</v>
      </c>
      <c r="E18">
        <f>_xlfn.XLOOKUP(A18,长度要求!A:A,长度要求!D:D)</f>
        <v>200</v>
      </c>
      <c r="F18" t="str">
        <f t="shared" si="2"/>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19" spans="1:6">
      <c r="A19">
        <f t="shared" si="0"/>
        <v>5</v>
      </c>
      <c r="B19" t="s">
        <v>83</v>
      </c>
      <c r="C19" t="s">
        <v>1299</v>
      </c>
      <c r="D19">
        <f t="shared" si="1"/>
        <v>857</v>
      </c>
      <c r="E19">
        <f>_xlfn.XLOOKUP(A19,长度要求!A:A,长度要求!D:D)</f>
        <v>200</v>
      </c>
      <c r="F19" t="str">
        <f t="shared" si="2"/>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row>
    <row r="20" spans="1:6">
      <c r="A20">
        <f t="shared" si="0"/>
        <v>1</v>
      </c>
      <c r="B20" t="s">
        <v>88</v>
      </c>
      <c r="C20" t="s">
        <v>89</v>
      </c>
      <c r="D20">
        <f t="shared" si="1"/>
        <v>273</v>
      </c>
      <c r="E20">
        <f>_xlfn.XLOOKUP(A20,长度要求!A:A,长度要求!D:D)</f>
        <v>200</v>
      </c>
      <c r="F20" t="str">
        <f t="shared" si="2"/>
        <v>上海世博中心，作为上海市机关事务管理局下属国有企业，同样具备了举办展览、会议、活动以及房屋租赁的功能，与上展中心在浦江两岸形成东西呼应的两座上海标志性建筑。上海世博中心以成为世界级的会议中心为目标。世博会期间，其承担了庆典、交流、贵宾接待、新闻发布和指挥运营等重要任务。世博会后，已转型成为大型高规格国际会议的重要场所，一方面承担政务服务功能，成为上海市“两会”及其他政务性会议的重要举办场所；另一方……</v>
      </c>
    </row>
    <row r="21" spans="1:6">
      <c r="A21">
        <f t="shared" si="0"/>
        <v>2</v>
      </c>
      <c r="B21" t="s">
        <v>93</v>
      </c>
      <c r="C21" t="s">
        <v>1300</v>
      </c>
      <c r="D21">
        <f t="shared" si="1"/>
        <v>206</v>
      </c>
      <c r="E21">
        <f>_xlfn.XLOOKUP(A21,长度要求!A:A,长度要求!D:D)</f>
        <v>200</v>
      </c>
      <c r="F21" t="str">
        <f t="shared" si="2"/>
        <v>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
公司自上世纪九十年代至今已先后设计和施工了影剧院、演剧场、文化馆等几百项文化设施项目及公共商业设施项目，取得了良好的社会信誉……</v>
      </c>
    </row>
    <row r="22" spans="1:6">
      <c r="A22">
        <f t="shared" si="0"/>
        <v>2</v>
      </c>
      <c r="B22" t="s">
        <v>93</v>
      </c>
      <c r="C22" t="s">
        <v>1300</v>
      </c>
      <c r="D22">
        <f t="shared" si="1"/>
        <v>206</v>
      </c>
      <c r="E22">
        <f>_xlfn.XLOOKUP(A22,长度要求!A:A,长度要求!D:D)</f>
        <v>200</v>
      </c>
      <c r="F22" t="str">
        <f t="shared" si="2"/>
        <v>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
公司自上世纪九十年代至今已先后设计和施工了影剧院、演剧场、文化馆等几百项文化设施项目及公共商业设施项目，取得了良好的社会信誉……</v>
      </c>
    </row>
    <row r="23" spans="1:6">
      <c r="A23">
        <f t="shared" si="0"/>
        <v>3</v>
      </c>
      <c r="B23" t="s">
        <v>100</v>
      </c>
      <c r="C23" t="s">
        <v>101</v>
      </c>
      <c r="D23">
        <f t="shared" si="1"/>
        <v>226</v>
      </c>
      <c r="E23">
        <f>_xlfn.XLOOKUP(A23,长度要求!A:A,长度要求!D:D)</f>
        <v>200</v>
      </c>
      <c r="F23" t="str">
        <f t="shared" si="2"/>
        <v>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v>
      </c>
    </row>
    <row r="24" spans="1:6">
      <c r="A24">
        <f t="shared" si="0"/>
        <v>3</v>
      </c>
      <c r="B24" t="s">
        <v>105</v>
      </c>
      <c r="C24" t="s">
        <v>106</v>
      </c>
      <c r="D24">
        <f t="shared" si="1"/>
        <v>244</v>
      </c>
      <c r="E24">
        <f>_xlfn.XLOOKUP(A24,长度要求!A:A,长度要求!D:D)</f>
        <v>200</v>
      </c>
      <c r="F24" t="str">
        <f t="shared" si="2"/>
        <v>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v>
      </c>
    </row>
    <row r="25" spans="1:6">
      <c r="A25">
        <f t="shared" si="0"/>
        <v>3</v>
      </c>
      <c r="B25" t="s">
        <v>109</v>
      </c>
      <c r="C25" t="s">
        <v>1301</v>
      </c>
      <c r="D25">
        <f t="shared" si="1"/>
        <v>394</v>
      </c>
      <c r="E25">
        <f>_xlfn.XLOOKUP(A25,长度要求!A:A,长度要求!D:D)</f>
        <v>200</v>
      </c>
      <c r="F25" t="str">
        <f t="shared" si="2"/>
        <v>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
在公众物业管理领域，明华在上海乃至国内……</v>
      </c>
    </row>
    <row r="26" spans="1:6">
      <c r="A26">
        <f t="shared" si="0"/>
        <v>2</v>
      </c>
      <c r="B26" t="s">
        <v>114</v>
      </c>
      <c r="C26" t="s">
        <v>1302</v>
      </c>
      <c r="D26">
        <f t="shared" si="1"/>
        <v>219</v>
      </c>
      <c r="E26">
        <f>_xlfn.XLOOKUP(A26,长度要求!A:A,长度要求!D:D)</f>
        <v>200</v>
      </c>
      <c r="F26" t="str">
        <f t="shared" si="2"/>
        <v>予童家庭服务（BabyNanny），以“重塑美好育儿生态”为使命，专注为高净值家庭提供育婴照护、婴儿早教、孩童陪伴等服务。
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v>
      </c>
    </row>
    <row r="27" spans="1:6">
      <c r="A27">
        <f t="shared" si="0"/>
        <v>3</v>
      </c>
      <c r="B27" t="s">
        <v>109</v>
      </c>
      <c r="C27" t="s">
        <v>1301</v>
      </c>
      <c r="D27">
        <f t="shared" si="1"/>
        <v>394</v>
      </c>
      <c r="E27">
        <f>_xlfn.XLOOKUP(A27,长度要求!A:A,长度要求!D:D)</f>
        <v>200</v>
      </c>
      <c r="F27" t="str">
        <f t="shared" si="2"/>
        <v>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
在公众物业管理领域，明华在上海乃至国内……</v>
      </c>
    </row>
    <row r="28" spans="1:6">
      <c r="A28">
        <f t="shared" si="0"/>
        <v>2</v>
      </c>
      <c r="B28" t="s">
        <v>121</v>
      </c>
      <c r="C28" t="s">
        <v>1303</v>
      </c>
      <c r="D28">
        <f t="shared" si="1"/>
        <v>347</v>
      </c>
      <c r="E28">
        <f>_xlfn.XLOOKUP(A28,长度要求!A:A,长度要求!D:D)</f>
        <v>200</v>
      </c>
      <c r="F28" t="str">
        <f t="shared" si="2"/>
        <v>中国电信股份有限公司上海莘闵电信局坐落于闵行区莘东路199号，简称莘闵电信局。前身为上海市电话局莘闵区局。2000年7月1日，中国电信集团上海市电信公司成立后，更名为上海市电信公司莘闵电信局； 2008年3月，更名为中国电信股份有限公司上海莘闵电信局。
中国电信股份有限公司上海莘闵电信局提供固定电话、移动通信、宽带互联网接入、互联网电视、卫星通信、信息化应用等泛在网络和综合智能信息服务能力，服务闵……</v>
      </c>
    </row>
    <row r="29" spans="1:6">
      <c r="A29">
        <f t="shared" si="0"/>
        <v>4</v>
      </c>
      <c r="B29" t="s">
        <v>125</v>
      </c>
      <c r="C29" t="s">
        <v>1304</v>
      </c>
      <c r="D29">
        <f t="shared" si="1"/>
        <v>373</v>
      </c>
      <c r="E29">
        <f>_xlfn.XLOOKUP(A29,长度要求!A:A,长度要求!D:D)</f>
        <v>200</v>
      </c>
      <c r="F29" t="str">
        <f t="shared" si="2"/>
        <v>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v>
      </c>
    </row>
    <row r="30" spans="1:6">
      <c r="A30">
        <f t="shared" si="0"/>
        <v>4</v>
      </c>
      <c r="B30" t="s">
        <v>125</v>
      </c>
      <c r="C30" t="s">
        <v>1304</v>
      </c>
      <c r="D30">
        <f t="shared" si="1"/>
        <v>373</v>
      </c>
      <c r="E30">
        <f>_xlfn.XLOOKUP(A30,长度要求!A:A,长度要求!D:D)</f>
        <v>200</v>
      </c>
      <c r="F30" t="str">
        <f t="shared" si="2"/>
        <v>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v>
      </c>
    </row>
    <row r="31" spans="1:6">
      <c r="A31">
        <f t="shared" si="0"/>
        <v>2</v>
      </c>
      <c r="B31" t="s">
        <v>121</v>
      </c>
      <c r="C31" t="s">
        <v>1303</v>
      </c>
      <c r="D31">
        <f t="shared" si="1"/>
        <v>347</v>
      </c>
      <c r="E31">
        <f>_xlfn.XLOOKUP(A31,长度要求!A:A,长度要求!D:D)</f>
        <v>200</v>
      </c>
      <c r="F31" t="str">
        <f t="shared" si="2"/>
        <v>中国电信股份有限公司上海莘闵电信局坐落于闵行区莘东路199号，简称莘闵电信局。前身为上海市电话局莘闵区局。2000年7月1日，中国电信集团上海市电信公司成立后，更名为上海市电信公司莘闵电信局； 2008年3月，更名为中国电信股份有限公司上海莘闵电信局。
中国电信股份有限公司上海莘闵电信局提供固定电话、移动通信、宽带互联网接入、互联网电视、卫星通信、信息化应用等泛在网络和综合智能信息服务能力，服务闵……</v>
      </c>
    </row>
    <row r="32" spans="1:6">
      <c r="A32">
        <f t="shared" si="0"/>
        <v>4</v>
      </c>
      <c r="B32" t="s">
        <v>125</v>
      </c>
      <c r="C32" t="s">
        <v>1304</v>
      </c>
      <c r="D32">
        <f t="shared" si="1"/>
        <v>373</v>
      </c>
      <c r="E32">
        <f>_xlfn.XLOOKUP(A32,长度要求!A:A,长度要求!D:D)</f>
        <v>200</v>
      </c>
      <c r="F32" t="str">
        <f t="shared" si="2"/>
        <v>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v>
      </c>
    </row>
    <row r="33" spans="1:6">
      <c r="A33">
        <f t="shared" si="0"/>
        <v>4</v>
      </c>
      <c r="B33" t="s">
        <v>125</v>
      </c>
      <c r="C33" t="s">
        <v>1304</v>
      </c>
      <c r="D33">
        <f t="shared" si="1"/>
        <v>373</v>
      </c>
      <c r="E33">
        <f>_xlfn.XLOOKUP(A33,长度要求!A:A,长度要求!D:D)</f>
        <v>200</v>
      </c>
      <c r="F33" t="str">
        <f t="shared" si="2"/>
        <v>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v>
      </c>
    </row>
    <row r="34" spans="1:6">
      <c r="A34">
        <f t="shared" si="0"/>
        <v>2</v>
      </c>
      <c r="B34" t="s">
        <v>141</v>
      </c>
      <c r="C34" t="s">
        <v>142</v>
      </c>
      <c r="D34">
        <f t="shared" si="1"/>
        <v>185</v>
      </c>
      <c r="E34">
        <f>_xlfn.XLOOKUP(A34,长度要求!A:A,长度要求!D:D)</f>
        <v>200</v>
      </c>
      <c r="F34" t="str">
        <f t="shared" si="2"/>
        <v>上海羊鑫布艺有限公司是海派旗袍与新中式文化创新的时尚企业作为上海海派旗袍文化促进会副会长单位,公司以"致知青花"系列为代表,融合传统制衣工艺与现代设计,打造独具东方韵味的高级定制服饰。产品屡获长三角旗袍设计大赛银奖等殊荣,创始人杨玉娟女士获“东方时尚工匠”称号。公司通过时尚闪秀、文化展览等多元化形式,致力于传承和发展海派旗袍文化,推动传统服饰艺术的现代表达与创新发展。</v>
      </c>
    </row>
    <row r="35" spans="1:6">
      <c r="A35">
        <f t="shared" si="0"/>
        <v>4</v>
      </c>
      <c r="B35" t="s">
        <v>145</v>
      </c>
      <c r="C35" t="s">
        <v>1305</v>
      </c>
      <c r="D35">
        <f t="shared" si="1"/>
        <v>261</v>
      </c>
      <c r="E35">
        <f>_xlfn.XLOOKUP(A35,长度要求!A:A,长度要求!D:D)</f>
        <v>200</v>
      </c>
      <c r="F35" t="str">
        <f t="shared" si="2"/>
        <v>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v>
      </c>
    </row>
    <row r="36" spans="1:6">
      <c r="A36">
        <f t="shared" si="0"/>
        <v>1</v>
      </c>
      <c r="B36" t="s">
        <v>149</v>
      </c>
      <c r="C36" t="s">
        <v>1306</v>
      </c>
      <c r="D36">
        <f t="shared" si="1"/>
        <v>313</v>
      </c>
      <c r="E36">
        <f>_xlfn.XLOOKUP(A36,长度要求!A:A,长度要求!D:D)</f>
        <v>200</v>
      </c>
      <c r="F36" t="str">
        <f t="shared" si="2"/>
        <v>上海特金创立于2003年，是国家级高新技术企业、国家级专精特新“小巨人”企业、上海市“专精特
新”企业，20余年深耕无线电感知和频谱大数据分析技术，致力于提供可信赖的低空安全管控解决方案，
在无人机预案、预警、识别、定位、追踪及处置方面处于业界领军地位，是国内将TDOA网格化无人机管控
技术进行产品化和大规模商用的发起者。 
特金拥有一百多项核心知识产权，深度参与国标、行标、团标的标准制定，荣获国……</v>
      </c>
    </row>
    <row r="37" spans="1:6">
      <c r="A37">
        <f t="shared" si="0"/>
        <v>4</v>
      </c>
      <c r="B37" t="s">
        <v>145</v>
      </c>
      <c r="C37" t="s">
        <v>1305</v>
      </c>
      <c r="D37">
        <f t="shared" si="1"/>
        <v>261</v>
      </c>
      <c r="E37">
        <f>_xlfn.XLOOKUP(A37,长度要求!A:A,长度要求!D:D)</f>
        <v>200</v>
      </c>
      <c r="F37" t="str">
        <f t="shared" si="2"/>
        <v>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v>
      </c>
    </row>
    <row r="38" spans="1:6">
      <c r="A38">
        <f t="shared" si="0"/>
        <v>2</v>
      </c>
      <c r="B38" t="s">
        <v>155</v>
      </c>
      <c r="C38" t="s">
        <v>1307</v>
      </c>
      <c r="D38">
        <f t="shared" si="1"/>
        <v>547</v>
      </c>
      <c r="E38">
        <f>_xlfn.XLOOKUP(A38,长度要求!A:A,长度要求!D:D)</f>
        <v>200</v>
      </c>
      <c r="F38" t="str">
        <f t="shared" si="2"/>
        <v>“和我们共创无限可能的未来”
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v>
      </c>
    </row>
    <row r="39" spans="1:6">
      <c r="A39">
        <f t="shared" si="0"/>
        <v>4</v>
      </c>
      <c r="B39" t="s">
        <v>145</v>
      </c>
      <c r="C39" t="s">
        <v>1305</v>
      </c>
      <c r="D39">
        <f t="shared" si="1"/>
        <v>261</v>
      </c>
      <c r="E39">
        <f>_xlfn.XLOOKUP(A39,长度要求!A:A,长度要求!D:D)</f>
        <v>200</v>
      </c>
      <c r="F39" t="str">
        <f t="shared" si="2"/>
        <v>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v>
      </c>
    </row>
    <row r="40" spans="1:6">
      <c r="A40">
        <f t="shared" si="0"/>
        <v>2</v>
      </c>
      <c r="B40" t="s">
        <v>162</v>
      </c>
      <c r="C40" t="s">
        <v>1308</v>
      </c>
      <c r="D40">
        <f t="shared" si="1"/>
        <v>445</v>
      </c>
      <c r="E40">
        <f>_xlfn.XLOOKUP(A40,长度要求!A:A,长度要求!D:D)</f>
        <v>200</v>
      </c>
      <c r="F40" t="str">
        <f t="shared" si="2"/>
        <v>  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
   作为长三角文旅产业联盟会员单位、教育部职教工场项目白名单企业，图萌科技拥有计算机软件著作权登记证书、上海电……</v>
      </c>
    </row>
    <row r="41" spans="1:6">
      <c r="A41">
        <f t="shared" si="0"/>
        <v>4</v>
      </c>
      <c r="B41" t="s">
        <v>145</v>
      </c>
      <c r="C41" t="s">
        <v>1305</v>
      </c>
      <c r="D41">
        <f t="shared" si="1"/>
        <v>261</v>
      </c>
      <c r="E41">
        <f>_xlfn.XLOOKUP(A41,长度要求!A:A,长度要求!D:D)</f>
        <v>200</v>
      </c>
      <c r="F41" t="str">
        <f t="shared" si="2"/>
        <v>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v>
      </c>
    </row>
    <row r="42" spans="1:6">
      <c r="A42">
        <f t="shared" si="0"/>
        <v>2</v>
      </c>
      <c r="B42" t="s">
        <v>162</v>
      </c>
      <c r="C42" t="s">
        <v>1308</v>
      </c>
      <c r="D42">
        <f t="shared" si="1"/>
        <v>445</v>
      </c>
      <c r="E42">
        <f>_xlfn.XLOOKUP(A42,长度要求!A:A,长度要求!D:D)</f>
        <v>200</v>
      </c>
      <c r="F42" t="str">
        <f t="shared" si="2"/>
        <v>  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
   作为长三角文旅产业联盟会员单位、教育部职教工场项目白名单企业，图萌科技拥有计算机软件著作权登记证书、上海电……</v>
      </c>
    </row>
    <row r="43" spans="1:6">
      <c r="A43">
        <f t="shared" si="0"/>
        <v>1</v>
      </c>
      <c r="B43" t="s">
        <v>172</v>
      </c>
      <c r="C43" t="s">
        <v>1309</v>
      </c>
      <c r="D43">
        <f t="shared" si="1"/>
        <v>208</v>
      </c>
      <c r="E43">
        <f>_xlfn.XLOOKUP(A43,长度要求!A:A,长度要求!D:D)</f>
        <v>200</v>
      </c>
      <c r="F43" t="str">
        <f t="shared" si="2"/>
        <v>上海积千理网络科技有限公司成立于 2019 年 9 月 23 日，是一家专注游戏直播领域的小微企业，公司位于上海市闵行区禾谷文创园A213号，目前处于开业状态。公司经营范围广泛，涵盖数字文化创意内容应用、互联网数据服务、个人互联网直播服务等。自成立以来，公司凭借专业的团队和创新的理念，在游戏直播领域崭露头角，致力于为观众呈现精彩的游戏直播内容，为游戏爱好者搭建互动交流平台，在竞争激烈的游戏直播市场……</v>
      </c>
    </row>
    <row r="44" spans="1:6">
      <c r="A44">
        <f t="shared" si="0"/>
        <v>2</v>
      </c>
      <c r="B44" t="s">
        <v>114</v>
      </c>
      <c r="C44" t="s">
        <v>1302</v>
      </c>
      <c r="D44">
        <f t="shared" si="1"/>
        <v>219</v>
      </c>
      <c r="E44">
        <f>_xlfn.XLOOKUP(A44,长度要求!A:A,长度要求!D:D)</f>
        <v>200</v>
      </c>
      <c r="F44" t="str">
        <f t="shared" si="2"/>
        <v>予童家庭服务（BabyNanny），以“重塑美好育儿生态”为使命，专注为高净值家庭提供育婴照护、婴儿早教、孩童陪伴等服务。
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v>
      </c>
    </row>
    <row r="45" spans="1:6">
      <c r="A45">
        <f t="shared" si="0"/>
        <v>5</v>
      </c>
      <c r="B45" t="s">
        <v>180</v>
      </c>
      <c r="C45" t="s">
        <v>1310</v>
      </c>
      <c r="D45">
        <f t="shared" si="1"/>
        <v>385</v>
      </c>
      <c r="E45">
        <f>_xlfn.XLOOKUP(A45,长度要求!A:A,长度要求!D:D)</f>
        <v>200</v>
      </c>
      <c r="F45" t="str">
        <f t="shared" si="2"/>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row>
    <row r="46" spans="1:6">
      <c r="A46">
        <f t="shared" si="0"/>
        <v>5</v>
      </c>
      <c r="B46" t="s">
        <v>180</v>
      </c>
      <c r="C46" t="s">
        <v>1310</v>
      </c>
      <c r="D46">
        <f t="shared" si="1"/>
        <v>385</v>
      </c>
      <c r="E46">
        <f>_xlfn.XLOOKUP(A46,长度要求!A:A,长度要求!D:D)</f>
        <v>200</v>
      </c>
      <c r="F46" t="str">
        <f t="shared" si="2"/>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row>
    <row r="47" spans="1:6">
      <c r="A47">
        <f t="shared" si="0"/>
        <v>5</v>
      </c>
      <c r="B47" t="s">
        <v>180</v>
      </c>
      <c r="C47" t="s">
        <v>1310</v>
      </c>
      <c r="D47">
        <f t="shared" si="1"/>
        <v>385</v>
      </c>
      <c r="E47">
        <f>_xlfn.XLOOKUP(A47,长度要求!A:A,长度要求!D:D)</f>
        <v>200</v>
      </c>
      <c r="F47" t="str">
        <f t="shared" si="2"/>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row>
    <row r="48" spans="1:6">
      <c r="A48">
        <f t="shared" si="0"/>
        <v>5</v>
      </c>
      <c r="B48" t="s">
        <v>189</v>
      </c>
      <c r="C48" t="s">
        <v>1311</v>
      </c>
      <c r="D48">
        <f t="shared" si="1"/>
        <v>495</v>
      </c>
      <c r="E48">
        <f>_xlfn.XLOOKUP(A48,长度要求!A:A,长度要求!D:D)</f>
        <v>200</v>
      </c>
      <c r="F48" t="str">
        <f t="shared" si="2"/>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row>
    <row r="49" spans="1:6">
      <c r="A49">
        <f t="shared" si="0"/>
        <v>4</v>
      </c>
      <c r="B49" t="s">
        <v>194</v>
      </c>
      <c r="C49" t="s">
        <v>1312</v>
      </c>
      <c r="D49">
        <f t="shared" si="1"/>
        <v>537</v>
      </c>
      <c r="E49">
        <f>_xlfn.XLOOKUP(A49,长度要求!A:A,长度要求!D:D)</f>
        <v>200</v>
      </c>
      <c r="F49" t="str">
        <f t="shared" si="2"/>
        <v>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v>
      </c>
    </row>
    <row r="50" spans="1:6">
      <c r="A50">
        <f t="shared" si="0"/>
        <v>5</v>
      </c>
      <c r="B50" t="s">
        <v>189</v>
      </c>
      <c r="C50" t="s">
        <v>1311</v>
      </c>
      <c r="D50">
        <f t="shared" si="1"/>
        <v>495</v>
      </c>
      <c r="E50">
        <f>_xlfn.XLOOKUP(A50,长度要求!A:A,长度要求!D:D)</f>
        <v>200</v>
      </c>
      <c r="F50" t="str">
        <f t="shared" si="2"/>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row>
    <row r="51" spans="1:6">
      <c r="A51">
        <f t="shared" si="0"/>
        <v>5</v>
      </c>
      <c r="B51" t="s">
        <v>189</v>
      </c>
      <c r="C51" t="s">
        <v>1311</v>
      </c>
      <c r="D51">
        <f t="shared" si="1"/>
        <v>495</v>
      </c>
      <c r="E51">
        <f>_xlfn.XLOOKUP(A51,长度要求!A:A,长度要求!D:D)</f>
        <v>200</v>
      </c>
      <c r="F51" t="str">
        <f t="shared" si="2"/>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row>
    <row r="52" spans="1:6">
      <c r="A52">
        <f t="shared" si="0"/>
        <v>5</v>
      </c>
      <c r="B52" t="s">
        <v>189</v>
      </c>
      <c r="C52" t="s">
        <v>1311</v>
      </c>
      <c r="D52">
        <f t="shared" si="1"/>
        <v>495</v>
      </c>
      <c r="E52">
        <f>_xlfn.XLOOKUP(A52,长度要求!A:A,长度要求!D:D)</f>
        <v>200</v>
      </c>
      <c r="F52" t="str">
        <f t="shared" si="2"/>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row>
    <row r="53" spans="1:6">
      <c r="A53">
        <f t="shared" si="0"/>
        <v>1</v>
      </c>
      <c r="B53" t="s">
        <v>207</v>
      </c>
      <c r="C53" t="s">
        <v>208</v>
      </c>
      <c r="D53">
        <f t="shared" si="1"/>
        <v>90</v>
      </c>
      <c r="E53">
        <f>_xlfn.XLOOKUP(A53,长度要求!A:A,长度要求!D:D)</f>
        <v>200</v>
      </c>
      <c r="F53" t="str">
        <f t="shared" si="2"/>
        <v>公司集国际货物贸易、报关、报检、货物运输代理等一体，主要承办货物的国际贸易代理、海运、空运进出口货物的国际运输及代理业务，是中国海关AEO高级认证企业，是诸多一线国际品牌合作伙伴。</v>
      </c>
    </row>
    <row r="54" spans="1:6">
      <c r="A54">
        <f t="shared" si="0"/>
        <v>1</v>
      </c>
      <c r="B54" t="s">
        <v>213</v>
      </c>
      <c r="C54" t="s">
        <v>1313</v>
      </c>
      <c r="D54">
        <f t="shared" si="1"/>
        <v>161</v>
      </c>
      <c r="E54">
        <f>_xlfn.XLOOKUP(A54,长度要求!A:A,长度要求!D:D)</f>
        <v>200</v>
      </c>
      <c r="F54" t="str">
        <f t="shared" si="2"/>
        <v>新致软件成立于1994年，总部坐落于上海，在北京、深圳、大连、重庆、成都、贵安、武汉、东京等多地设立了分支机构。新致软件专注于向保险公司、银行等金融机构及电信、汽车、医疗等其他行业终端客户提供IT解决方案、IT运维服务，以及向一级软件承包商提供软件项目分包服务。
上海新致致远智能公司致力于云计算、人工智能产品与解决方案。</v>
      </c>
    </row>
    <row r="55" spans="1:6">
      <c r="A55">
        <f t="shared" si="0"/>
        <v>5</v>
      </c>
      <c r="B55" t="s">
        <v>219</v>
      </c>
      <c r="C55" t="s">
        <v>1314</v>
      </c>
      <c r="D55">
        <f t="shared" si="1"/>
        <v>626</v>
      </c>
      <c r="E55">
        <f>_xlfn.XLOOKUP(A55,长度要求!A:A,长度要求!D:D)</f>
        <v>200</v>
      </c>
      <c r="F55" t="str">
        <f t="shared" si="2"/>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row>
    <row r="56" spans="1:6">
      <c r="A56">
        <f t="shared" si="0"/>
        <v>5</v>
      </c>
      <c r="B56" t="s">
        <v>219</v>
      </c>
      <c r="C56" t="s">
        <v>1314</v>
      </c>
      <c r="D56">
        <f t="shared" si="1"/>
        <v>626</v>
      </c>
      <c r="E56">
        <f>_xlfn.XLOOKUP(A56,长度要求!A:A,长度要求!D:D)</f>
        <v>200</v>
      </c>
      <c r="F56" t="str">
        <f t="shared" si="2"/>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row>
    <row r="57" spans="1:6">
      <c r="A57">
        <f t="shared" si="0"/>
        <v>1</v>
      </c>
      <c r="B57" t="s">
        <v>225</v>
      </c>
      <c r="C57" t="s">
        <v>1315</v>
      </c>
      <c r="D57">
        <f t="shared" si="1"/>
        <v>399</v>
      </c>
      <c r="E57">
        <f>_xlfn.XLOOKUP(A57,长度要求!A:A,长度要求!D:D)</f>
        <v>200</v>
      </c>
      <c r="F57" t="str">
        <f t="shared" si="2"/>
        <v>    上海率震档案信息技术有限公司是一家专业为律师、律所、政法机关等提供现代化档案信息服务的科技型公司。现主营业务为档案软件开发，档案5A数字化建设、档案大规模扫描服务、文档追溯管理、档案图像识别、图像优化、档案寄存等。
     2024年3月1日，《中华人民共和国档案法实施条例》正式施行。相较于此前的《档案法实施办法》，本次施行的《中华人民共和国档案法实施条例》无论是条款数量还是具体内容都有……</v>
      </c>
    </row>
    <row r="58" spans="1:6">
      <c r="A58">
        <f t="shared" si="0"/>
        <v>1</v>
      </c>
      <c r="B58" t="s">
        <v>230</v>
      </c>
      <c r="C58" t="s">
        <v>231</v>
      </c>
      <c r="D58">
        <f t="shared" si="1"/>
        <v>210</v>
      </c>
      <c r="E58">
        <f>_xlfn.XLOOKUP(A58,长度要求!A:A,长度要求!D:D)</f>
        <v>200</v>
      </c>
      <c r="F58" t="str">
        <f t="shared" si="2"/>
        <v>上海久事公共交通集团有限公司是沪上大型城市公共交通国有企业。久事公交下属企业分为公交企业板块、保障类企业板块，及综合类企业板块。其中公交运营板块，主要负责上海浦西中心城区的公交运营以及相关车辆维修保障等工作。该板块由五家公交营运公司组成（上海巴士第一公共交通有限公司、上海巴士第二公共交通有限公司、上海巴士第三公共交通有限公司、上海巴士第四公共交通有限公司、上海巴士第五公共交通有限公司）久事公交共有……</v>
      </c>
    </row>
    <row r="59" spans="1:6">
      <c r="A59">
        <f t="shared" si="0"/>
        <v>5</v>
      </c>
      <c r="B59" t="s">
        <v>63</v>
      </c>
      <c r="C59" t="s">
        <v>1297</v>
      </c>
      <c r="D59">
        <f t="shared" si="1"/>
        <v>444</v>
      </c>
      <c r="E59">
        <f>_xlfn.XLOOKUP(A59,长度要求!A:A,长度要求!D:D)</f>
        <v>200</v>
      </c>
      <c r="F59" t="str">
        <f t="shared" si="2"/>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row>
    <row r="60" spans="1:6">
      <c r="A60">
        <f t="shared" si="0"/>
        <v>2</v>
      </c>
      <c r="B60" t="s">
        <v>238</v>
      </c>
      <c r="C60" t="s">
        <v>239</v>
      </c>
      <c r="D60">
        <f t="shared" si="1"/>
        <v>575</v>
      </c>
      <c r="E60">
        <f>_xlfn.XLOOKUP(A60,长度要求!A:A,长度要求!D:D)</f>
        <v>200</v>
      </c>
      <c r="F60" t="str">
        <f t="shared" si="2"/>
        <v>上海味捷智朗科技发展有限公司是熙香科技集团重要子公司之一。集团始创于2014年，是国内领先的人工智能科技企业，国内首家落地的生活服务机器人系统解决方案的服务商，公司致力于借助人工智能、物联网、大数据等技术，激发出更具交互性、智能化和安全的生活服务新业态，通过将物AI+技术应用于生活服务领域，建立智能服务一体化、作业机械无人化、需求定制自动化的“两化一体”模式，实现数据驱动的的精细化运营。公司相关智……</v>
      </c>
    </row>
    <row r="61" spans="1:6">
      <c r="A61">
        <f t="shared" si="0"/>
        <v>2</v>
      </c>
      <c r="B61" t="s">
        <v>238</v>
      </c>
      <c r="C61" t="s">
        <v>239</v>
      </c>
      <c r="D61">
        <f t="shared" si="1"/>
        <v>575</v>
      </c>
      <c r="E61">
        <f>_xlfn.XLOOKUP(A61,长度要求!A:A,长度要求!D:D)</f>
        <v>200</v>
      </c>
      <c r="F61" t="str">
        <f t="shared" si="2"/>
        <v>上海味捷智朗科技发展有限公司是熙香科技集团重要子公司之一。集团始创于2014年，是国内领先的人工智能科技企业，国内首家落地的生活服务机器人系统解决方案的服务商，公司致力于借助人工智能、物联网、大数据等技术，激发出更具交互性、智能化和安全的生活服务新业态，通过将物AI+技术应用于生活服务领域，建立智能服务一体化、作业机械无人化、需求定制自动化的“两化一体”模式，实现数据驱动的的精细化运营。公司相关智……</v>
      </c>
    </row>
    <row r="62" spans="1:6">
      <c r="A62">
        <f t="shared" si="0"/>
        <v>3</v>
      </c>
      <c r="B62" t="s">
        <v>248</v>
      </c>
      <c r="C62" t="s">
        <v>249</v>
      </c>
      <c r="D62">
        <f t="shared" si="1"/>
        <v>54</v>
      </c>
      <c r="E62">
        <f>_xlfn.XLOOKUP(A62,长度要求!A:A,长度要求!D:D)</f>
        <v>200</v>
      </c>
      <c r="F62" t="str">
        <f t="shared" si="2"/>
        <v>鲸鱼机器人专注于青少年人工智能与教育机器人领域，是集机器人软硬件的设计、研发、生产、销售为一体的高科技公司。</v>
      </c>
    </row>
    <row r="63" spans="1:6">
      <c r="A63">
        <f t="shared" si="0"/>
        <v>3</v>
      </c>
      <c r="B63" t="s">
        <v>248</v>
      </c>
      <c r="C63" t="s">
        <v>249</v>
      </c>
      <c r="D63">
        <f t="shared" si="1"/>
        <v>54</v>
      </c>
      <c r="E63">
        <f>_xlfn.XLOOKUP(A63,长度要求!A:A,长度要求!D:D)</f>
        <v>200</v>
      </c>
      <c r="F63" t="str">
        <f t="shared" si="2"/>
        <v>鲸鱼机器人专注于青少年人工智能与教育机器人领域，是集机器人软硬件的设计、研发、生产、销售为一体的高科技公司。</v>
      </c>
    </row>
    <row r="64" spans="1:6">
      <c r="A64">
        <f t="shared" si="0"/>
        <v>3</v>
      </c>
      <c r="B64" t="s">
        <v>248</v>
      </c>
      <c r="C64" t="s">
        <v>249</v>
      </c>
      <c r="D64">
        <f t="shared" si="1"/>
        <v>54</v>
      </c>
      <c r="E64">
        <f>_xlfn.XLOOKUP(A64,长度要求!A:A,长度要求!D:D)</f>
        <v>200</v>
      </c>
      <c r="F64" t="str">
        <f t="shared" si="2"/>
        <v>鲸鱼机器人专注于青少年人工智能与教育机器人领域，是集机器人软硬件的设计、研发、生产、销售为一体的高科技公司。</v>
      </c>
    </row>
    <row r="65" spans="1:6">
      <c r="A65">
        <f t="shared" si="0"/>
        <v>1</v>
      </c>
      <c r="B65" t="s">
        <v>257</v>
      </c>
      <c r="C65" t="s">
        <v>258</v>
      </c>
      <c r="D65">
        <f t="shared" si="1"/>
        <v>94</v>
      </c>
      <c r="E65">
        <f>_xlfn.XLOOKUP(A65,长度要求!A:A,长度要求!D:D)</f>
        <v>200</v>
      </c>
      <c r="F65" t="str">
        <f t="shared" si="2"/>
        <v>在上海市中心坐拥5家分店，主营品牌苗方清颜，主打祛痘及问题肌肤管理。开业14年以来，累计会员3000名以上。因为拓店需求，现招聘10名有工作经验的高级美容师及美容学徒，欢迎有志之士的加入。</v>
      </c>
    </row>
    <row r="66" spans="1:6">
      <c r="A66">
        <f t="shared" ref="A66:A129" si="3">COUNTIF(B:B,B66)</f>
        <v>3</v>
      </c>
      <c r="B66" t="s">
        <v>262</v>
      </c>
      <c r="C66" t="s">
        <v>263</v>
      </c>
      <c r="D66">
        <f t="shared" ref="D66:D129" si="4">LEN(C66)</f>
        <v>227</v>
      </c>
      <c r="E66">
        <f>_xlfn.XLOOKUP(A66,长度要求!A:A,长度要求!D:D)</f>
        <v>200</v>
      </c>
      <c r="F66" t="str">
        <f t="shared" ref="F66:F129" si="5">IF(D66&lt;E66,C66,LEFT(C66,E66)&amp;"……")</f>
        <v>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v>
      </c>
    </row>
    <row r="67" spans="1:6">
      <c r="A67">
        <f t="shared" si="3"/>
        <v>3</v>
      </c>
      <c r="B67" t="s">
        <v>262</v>
      </c>
      <c r="C67" t="s">
        <v>263</v>
      </c>
      <c r="D67">
        <f t="shared" si="4"/>
        <v>227</v>
      </c>
      <c r="E67">
        <f>_xlfn.XLOOKUP(A67,长度要求!A:A,长度要求!D:D)</f>
        <v>200</v>
      </c>
      <c r="F67" t="str">
        <f t="shared" si="5"/>
        <v>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v>
      </c>
    </row>
    <row r="68" spans="1:6">
      <c r="A68">
        <f t="shared" si="3"/>
        <v>3</v>
      </c>
      <c r="B68" t="s">
        <v>262</v>
      </c>
      <c r="C68" t="s">
        <v>263</v>
      </c>
      <c r="D68">
        <f t="shared" si="4"/>
        <v>227</v>
      </c>
      <c r="E68">
        <f>_xlfn.XLOOKUP(A68,长度要求!A:A,长度要求!D:D)</f>
        <v>200</v>
      </c>
      <c r="F68" t="str">
        <f t="shared" si="5"/>
        <v>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v>
      </c>
    </row>
    <row r="69" spans="1:6">
      <c r="A69">
        <f t="shared" si="3"/>
        <v>5</v>
      </c>
      <c r="B69" t="s">
        <v>276</v>
      </c>
      <c r="C69" t="s">
        <v>277</v>
      </c>
      <c r="D69">
        <f t="shared" si="4"/>
        <v>304</v>
      </c>
      <c r="E69">
        <f>_xlfn.XLOOKUP(A69,长度要求!A:A,长度要求!D:D)</f>
        <v>200</v>
      </c>
      <c r="F69" t="str">
        <f t="shared" si="5"/>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row>
    <row r="70" spans="1:6">
      <c r="A70">
        <f t="shared" si="3"/>
        <v>2</v>
      </c>
      <c r="B70" t="s">
        <v>282</v>
      </c>
      <c r="C70" t="s">
        <v>283</v>
      </c>
      <c r="D70">
        <f t="shared" si="4"/>
        <v>149</v>
      </c>
      <c r="E70">
        <f>_xlfn.XLOOKUP(A70,长度要求!A:A,长度要求!D:D)</f>
        <v>200</v>
      </c>
      <c r="F70" t="str">
        <f t="shared" si="5"/>
        <v>上海市闵行区医疗急救中心隶属于上海市闵行区卫生健康委员会，是区内唯一从事院前急救专业的公立医疗卫生事业单位。承担了闵行区内272万人口的院前急救、危急重病症初步诊治与抢救护理。职责还包括急救临床教学、急救医学科研、急救卫生技术人员培训和区域重特大事故现场紧急救援以及大型赛事活动现场医疗保障等工作。</v>
      </c>
    </row>
    <row r="71" spans="1:6">
      <c r="A71">
        <f t="shared" si="3"/>
        <v>2</v>
      </c>
      <c r="B71" t="s">
        <v>286</v>
      </c>
      <c r="C71" t="s">
        <v>1316</v>
      </c>
      <c r="D71">
        <f t="shared" si="4"/>
        <v>744</v>
      </c>
      <c r="E71">
        <f>_xlfn.XLOOKUP(A71,长度要求!A:A,长度要求!D:D)</f>
        <v>200</v>
      </c>
      <c r="F71" t="str">
        <f t="shared" si="5"/>
        <v>博赫尔（POHIR）科技集团是一家全球智能化清洁清洗解决方案提供商和服
务商，POHIR博赫尔品牌起源于上个世纪90年代的德国，经过近20多年的发展
和不断创新，POHIR博赫尔在全球已覆盖了北美，欧洲，东南亚等全球50多个
国家或地区，并为全球30万+客户提供清洁清洗设备解决方案。
在欧洲，博赫尔（POHIR）分别在德国、法国等地设有2个仓储运营服务中
心和1个产品设计研发中心。在北美，博赫尔（……</v>
      </c>
    </row>
    <row r="72" spans="1:6">
      <c r="A72">
        <f t="shared" si="3"/>
        <v>2</v>
      </c>
      <c r="B72" t="s">
        <v>286</v>
      </c>
      <c r="C72" t="s">
        <v>1316</v>
      </c>
      <c r="D72">
        <f t="shared" si="4"/>
        <v>744</v>
      </c>
      <c r="E72">
        <f>_xlfn.XLOOKUP(A72,长度要求!A:A,长度要求!D:D)</f>
        <v>200</v>
      </c>
      <c r="F72" t="str">
        <f t="shared" si="5"/>
        <v>博赫尔（POHIR）科技集团是一家全球智能化清洁清洗解决方案提供商和服
务商，POHIR博赫尔品牌起源于上个世纪90年代的德国，经过近20多年的发展
和不断创新，POHIR博赫尔在全球已覆盖了北美，欧洲，东南亚等全球50多个
国家或地区，并为全球30万+客户提供清洁清洗设备解决方案。
在欧洲，博赫尔（POHIR）分别在德国、法国等地设有2个仓储运营服务中
心和1个产品设计研发中心。在北美，博赫尔（……</v>
      </c>
    </row>
    <row r="73" spans="1:6">
      <c r="A73">
        <f t="shared" si="3"/>
        <v>5</v>
      </c>
      <c r="B73" t="s">
        <v>276</v>
      </c>
      <c r="C73" t="s">
        <v>277</v>
      </c>
      <c r="D73">
        <f t="shared" si="4"/>
        <v>304</v>
      </c>
      <c r="E73">
        <f>_xlfn.XLOOKUP(A73,长度要求!A:A,长度要求!D:D)</f>
        <v>200</v>
      </c>
      <c r="F73" t="str">
        <f t="shared" si="5"/>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row>
    <row r="74" spans="1:6">
      <c r="A74">
        <f t="shared" si="3"/>
        <v>3</v>
      </c>
      <c r="B74" t="s">
        <v>299</v>
      </c>
      <c r="C74" t="s">
        <v>1317</v>
      </c>
      <c r="D74">
        <f t="shared" si="4"/>
        <v>419</v>
      </c>
      <c r="E74">
        <f>_xlfn.XLOOKUP(A74,长度要求!A:A,长度要求!D:D)</f>
        <v>200</v>
      </c>
      <c r="F74" t="str">
        <f t="shared" si="5"/>
        <v>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
公司主要业务：
一、“三化”工程业务
1.智能化工程及维保，含道闸、门禁、监控、LED 显示屏、远程智能控制系统、预付……</v>
      </c>
    </row>
    <row r="75" spans="1:6">
      <c r="A75">
        <f t="shared" si="3"/>
        <v>3</v>
      </c>
      <c r="B75" t="s">
        <v>299</v>
      </c>
      <c r="C75" t="s">
        <v>1317</v>
      </c>
      <c r="D75">
        <f t="shared" si="4"/>
        <v>419</v>
      </c>
      <c r="E75">
        <f>_xlfn.XLOOKUP(A75,长度要求!A:A,长度要求!D:D)</f>
        <v>200</v>
      </c>
      <c r="F75" t="str">
        <f t="shared" si="5"/>
        <v>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
公司主要业务：
一、“三化”工程业务
1.智能化工程及维保，含道闸、门禁、监控、LED 显示屏、远程智能控制系统、预付……</v>
      </c>
    </row>
    <row r="76" spans="1:6">
      <c r="A76">
        <f t="shared" si="3"/>
        <v>3</v>
      </c>
      <c r="B76" t="s">
        <v>299</v>
      </c>
      <c r="C76" t="s">
        <v>1317</v>
      </c>
      <c r="D76">
        <f t="shared" si="4"/>
        <v>419</v>
      </c>
      <c r="E76">
        <f>_xlfn.XLOOKUP(A76,长度要求!A:A,长度要求!D:D)</f>
        <v>200</v>
      </c>
      <c r="F76" t="str">
        <f t="shared" si="5"/>
        <v>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
公司主要业务：
一、“三化”工程业务
1.智能化工程及维保，含道闸、门禁、监控、LED 显示屏、远程智能控制系统、预付……</v>
      </c>
    </row>
    <row r="77" spans="1:6">
      <c r="A77">
        <f t="shared" si="3"/>
        <v>1</v>
      </c>
      <c r="B77" t="s">
        <v>307</v>
      </c>
      <c r="C77" t="s">
        <v>1318</v>
      </c>
      <c r="D77">
        <f t="shared" si="4"/>
        <v>1716</v>
      </c>
      <c r="E77">
        <f>_xlfn.XLOOKUP(A77,长度要求!A:A,长度要求!D:D)</f>
        <v>200</v>
      </c>
      <c r="F77" t="str">
        <f t="shared" si="5"/>
        <v>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
项目地点遍及上海、北京、天津、南京、成都、西安、银川、无锡、南昌、合肥、马鞍山、蚌埠、芜湖、武汉、大同，以及美国旧金山等……</v>
      </c>
    </row>
    <row r="78" spans="1:6">
      <c r="A78">
        <f t="shared" si="3"/>
        <v>4</v>
      </c>
      <c r="B78" t="s">
        <v>312</v>
      </c>
      <c r="C78" t="s">
        <v>1319</v>
      </c>
      <c r="D78">
        <f t="shared" si="4"/>
        <v>266</v>
      </c>
      <c r="E78">
        <f>_xlfn.XLOOKUP(A78,长度要求!A:A,长度要求!D:D)</f>
        <v>200</v>
      </c>
      <c r="F78" t="str">
        <f t="shared" si="5"/>
        <v>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v>
      </c>
    </row>
    <row r="79" spans="1:6">
      <c r="A79">
        <f t="shared" si="3"/>
        <v>6</v>
      </c>
      <c r="B79" t="s">
        <v>318</v>
      </c>
      <c r="C79" t="s">
        <v>1320</v>
      </c>
      <c r="D79">
        <f t="shared" si="4"/>
        <v>248</v>
      </c>
      <c r="E79">
        <f>_xlfn.XLOOKUP(A79,长度要求!A:A,长度要求!D:D)</f>
        <v>200</v>
      </c>
      <c r="F79" t="str">
        <f t="shared" si="5"/>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80" spans="1:6">
      <c r="A80">
        <f t="shared" si="3"/>
        <v>5</v>
      </c>
      <c r="B80" t="s">
        <v>323</v>
      </c>
      <c r="C80" t="s">
        <v>324</v>
      </c>
      <c r="D80">
        <f t="shared" si="4"/>
        <v>173</v>
      </c>
      <c r="E80">
        <f>_xlfn.XLOOKUP(A80,长度要求!A:A,长度要求!D:D)</f>
        <v>200</v>
      </c>
      <c r="F80" t="str">
        <f t="shared" si="5"/>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row>
    <row r="81" spans="1:6">
      <c r="A81">
        <f t="shared" si="3"/>
        <v>4</v>
      </c>
      <c r="B81" t="s">
        <v>327</v>
      </c>
      <c r="C81" t="s">
        <v>1321</v>
      </c>
      <c r="D81">
        <f t="shared" si="4"/>
        <v>422</v>
      </c>
      <c r="E81">
        <f>_xlfn.XLOOKUP(A81,长度要求!A:A,长度要求!D:D)</f>
        <v>200</v>
      </c>
      <c r="F81" t="str">
        <f t="shared" si="5"/>
        <v>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v>
      </c>
    </row>
    <row r="82" spans="1:6">
      <c r="A82">
        <f t="shared" si="3"/>
        <v>5</v>
      </c>
      <c r="B82" t="s">
        <v>276</v>
      </c>
      <c r="C82" t="s">
        <v>277</v>
      </c>
      <c r="D82">
        <f t="shared" si="4"/>
        <v>304</v>
      </c>
      <c r="E82">
        <f>_xlfn.XLOOKUP(A82,长度要求!A:A,长度要求!D:D)</f>
        <v>200</v>
      </c>
      <c r="F82" t="str">
        <f t="shared" si="5"/>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row>
    <row r="83" spans="1:6">
      <c r="A83">
        <f t="shared" si="3"/>
        <v>1</v>
      </c>
      <c r="B83" t="s">
        <v>336</v>
      </c>
      <c r="C83" t="s">
        <v>337</v>
      </c>
      <c r="D83">
        <f t="shared" si="4"/>
        <v>95</v>
      </c>
      <c r="E83">
        <f>_xlfn.XLOOKUP(A83,长度要求!A:A,长度要求!D:D)</f>
        <v>200</v>
      </c>
      <c r="F83" t="str">
        <f t="shared" si="5"/>
        <v>中移铁通为中国移动下属专业子公司，公司定位为“属地装维营销专业化支撑者”和“数智工程服务市场化拓展者”，重点聚焦家庭宽带安装维护、政企客户项目交付、DICT系统集成和工程项目建设维护等业务。</v>
      </c>
    </row>
    <row r="84" spans="1:6">
      <c r="A84">
        <f t="shared" si="3"/>
        <v>4</v>
      </c>
      <c r="B84" t="s">
        <v>327</v>
      </c>
      <c r="C84" t="s">
        <v>1321</v>
      </c>
      <c r="D84">
        <f t="shared" si="4"/>
        <v>422</v>
      </c>
      <c r="E84">
        <f>_xlfn.XLOOKUP(A84,长度要求!A:A,长度要求!D:D)</f>
        <v>200</v>
      </c>
      <c r="F84" t="str">
        <f t="shared" si="5"/>
        <v>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v>
      </c>
    </row>
    <row r="85" spans="1:6">
      <c r="A85">
        <f t="shared" si="3"/>
        <v>4</v>
      </c>
      <c r="B85" t="s">
        <v>327</v>
      </c>
      <c r="C85" t="s">
        <v>1321</v>
      </c>
      <c r="D85">
        <f t="shared" si="4"/>
        <v>422</v>
      </c>
      <c r="E85">
        <f>_xlfn.XLOOKUP(A85,长度要求!A:A,长度要求!D:D)</f>
        <v>200</v>
      </c>
      <c r="F85" t="str">
        <f t="shared" si="5"/>
        <v>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v>
      </c>
    </row>
    <row r="86" spans="1:6">
      <c r="A86">
        <f t="shared" si="3"/>
        <v>2</v>
      </c>
      <c r="B86" t="s">
        <v>347</v>
      </c>
      <c r="C86" t="s">
        <v>1322</v>
      </c>
      <c r="D86">
        <f t="shared" si="4"/>
        <v>216</v>
      </c>
      <c r="E86">
        <f>_xlfn.XLOOKUP(A86,长度要求!A:A,长度要求!D:D)</f>
        <v>200</v>
      </c>
      <c r="F86" t="str">
        <f t="shared" si="5"/>
        <v>       上海上勤高级楼宇管理有限公司，隶属于上海市机关事务管理局委托管理的国有独资企业，一直从事市人大和市政府等机关后勤服务保障工作。
       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v>
      </c>
    </row>
    <row r="87" spans="1:6">
      <c r="A87">
        <f t="shared" si="3"/>
        <v>1</v>
      </c>
      <c r="B87" t="s">
        <v>351</v>
      </c>
      <c r="C87" t="s">
        <v>1323</v>
      </c>
      <c r="D87">
        <f t="shared" si="4"/>
        <v>262</v>
      </c>
      <c r="E87">
        <f>_xlfn.XLOOKUP(A87,长度要求!A:A,长度要求!D:D)</f>
        <v>200</v>
      </c>
      <c r="F87" t="str">
        <f t="shared" si="5"/>
        <v>上海世界联合服装有限公司 隶属ICCF之禾卡纷集团。
ICCF之禾卡纷集团是着重于可持续发展的全业务连高端时尚集团，致力于为世界提供基于优质原料的环境友好时装。
集团旗下目前的主要业务板块，包含中国品牌ICICLE之禾，法国品牌CARVEN卡纷，时装制造中心以及物流中心，从原料采购、产品开发、制造、销售和消费者体验的全业务连视角，寻求品牌发展与环境、社会的和谐共生。
我们的团队年轻有活力，乐……</v>
      </c>
    </row>
    <row r="88" spans="1:6">
      <c r="A88">
        <f t="shared" si="3"/>
        <v>1</v>
      </c>
      <c r="B88" t="s">
        <v>356</v>
      </c>
      <c r="C88" t="s">
        <v>1324</v>
      </c>
      <c r="D88">
        <f t="shared" si="4"/>
        <v>143</v>
      </c>
      <c r="E88">
        <f>_xlfn.XLOOKUP(A88,长度要求!A:A,长度要求!D:D)</f>
        <v>200</v>
      </c>
      <c r="F88" t="str">
        <f t="shared" si="5"/>
        <v>闵行区吴泾第二幼儿园位于闵行区吴泾地区的黄浦江边，创办于1992年，是一所公办幼儿园，园所占地面积为3208平方米，建筑面积1237平方米。绿化面积948平方米。园训：博学之本 启蒙之所 办园理念：伴着幼儿健康幸福地成长 幼儿发展目标：习惯良好 好奇探究 文明乐群 勇敢自信 健康快乐。</v>
      </c>
    </row>
    <row r="89" spans="1:6">
      <c r="A89">
        <f t="shared" si="3"/>
        <v>1</v>
      </c>
      <c r="B89" t="s">
        <v>361</v>
      </c>
      <c r="C89" t="s">
        <v>1325</v>
      </c>
      <c r="D89">
        <f t="shared" si="4"/>
        <v>640</v>
      </c>
      <c r="E89">
        <f>_xlfn.XLOOKUP(A89,长度要求!A:A,长度要求!D:D)</f>
        <v>200</v>
      </c>
      <c r="F89" t="str">
        <f t="shared" si="5"/>
        <v>上海圆外物业集团有限公司于2004年2月经国家工商行政管理局批准成立，注册资金500万。公司目前管理的物业面积有400余万平方米,包括：高层住宅、多层住宅、别墅、商业物业、办公楼、工业厂房、学校等各类物业的管理与服务。
公司董事长李俊南先生，上海市闵行区政协常委，本科学历，工程师中级职称，专注物业管理服务15年，获得上海市物业管理行业协会首批物业管理专家、上海市物业行业协会优秀工作者、上海市房地局……</v>
      </c>
    </row>
    <row r="90" spans="1:6">
      <c r="A90">
        <f t="shared" si="3"/>
        <v>5</v>
      </c>
      <c r="B90" t="s">
        <v>323</v>
      </c>
      <c r="C90" t="s">
        <v>324</v>
      </c>
      <c r="D90">
        <f t="shared" si="4"/>
        <v>173</v>
      </c>
      <c r="E90">
        <f>_xlfn.XLOOKUP(A90,长度要求!A:A,长度要求!D:D)</f>
        <v>200</v>
      </c>
      <c r="F90" t="str">
        <f t="shared" si="5"/>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row>
    <row r="91" spans="1:6">
      <c r="A91">
        <f t="shared" si="3"/>
        <v>1</v>
      </c>
      <c r="B91" t="s">
        <v>366</v>
      </c>
      <c r="C91" t="s">
        <v>1326</v>
      </c>
      <c r="D91">
        <f t="shared" si="4"/>
        <v>204</v>
      </c>
      <c r="E91">
        <f>_xlfn.XLOOKUP(A91,长度要求!A:A,长度要求!D:D)</f>
        <v>200</v>
      </c>
      <c r="F91" t="str">
        <f t="shared" si="5"/>
        <v>公牛集团股份有限公司创办于1995年，公司专注于以转换器、墙壁开关插座为核心的民用电工产品的研发、生产和销售，主要包括转换器（即延长线插座、移动式插座等）、 墙壁开关插座、LED照明、数码配件等电源连接和用电延伸性产品，广泛应用于家庭、办公等用电场合。目前，公司拥有观海卫工业园东区、工业园西区、古窑、龙山等多个制造基地，员工总数超过1万人，建立了近100万家网点的线下实体营销网络和专业的线上电商营……</v>
      </c>
    </row>
    <row r="92" spans="1:6">
      <c r="A92">
        <f t="shared" si="3"/>
        <v>1</v>
      </c>
      <c r="B92" t="s">
        <v>371</v>
      </c>
      <c r="C92" t="s">
        <v>372</v>
      </c>
      <c r="D92">
        <f t="shared" si="4"/>
        <v>241</v>
      </c>
      <c r="E92">
        <f>_xlfn.XLOOKUP(A92,长度要求!A:A,长度要求!D:D)</f>
        <v>200</v>
      </c>
      <c r="F92" t="str">
        <f t="shared" si="5"/>
        <v>上海励影文化传媒有限公司，成立于2014年，是一家综合型专业公关活动影服务商。提供导播直播、摄影摄像、视频制作等活动影像技术解决方案。公司核心团队均为高校编导专业毕业，团队年总计近干场影像服务经验，其专业度获得客户高度认可。公司自有多套顶级4KEFP导播直播系统以及高端摄影摄像器材。管理上导入了绩效管理机制，励影传媒，凭借资深执行团队+自有高端影像设备+成熟管理机制三大优势，给客户带来最具性价比的……</v>
      </c>
    </row>
    <row r="93" spans="1:6">
      <c r="A93">
        <f t="shared" si="3"/>
        <v>1</v>
      </c>
      <c r="B93" t="s">
        <v>377</v>
      </c>
      <c r="C93" t="s">
        <v>378</v>
      </c>
      <c r="D93">
        <f t="shared" si="4"/>
        <v>189</v>
      </c>
      <c r="E93">
        <f>_xlfn.XLOOKUP(A93,长度要求!A:A,长度要求!D:D)</f>
        <v>200</v>
      </c>
      <c r="F93" t="str">
        <f t="shared" si="5"/>
        <v>中国福利会托儿所，由新中国的缔造者之一、国家名誉主席、中国福利会创始人宋庆龄女士亲手创办于1950年。70多年来，遵循宋庆龄“愿小树苗健康成长”的教育期许和“把最宝贵的东西给予儿童”的工作要求，中国福利会托儿所积极探索营养膳食、科学育儿、婴幼儿教育教学的研究与实践，逐渐形成了以营养为特色，以保健为基础，保教结合，身心并举的健康教育模式，构建了1-6岁早期教育全程化的办学格局。</v>
      </c>
    </row>
    <row r="94" spans="1:6">
      <c r="A94">
        <f t="shared" si="3"/>
        <v>4</v>
      </c>
      <c r="B94" t="s">
        <v>381</v>
      </c>
      <c r="C94" t="s">
        <v>1327</v>
      </c>
      <c r="D94">
        <f t="shared" si="4"/>
        <v>645</v>
      </c>
      <c r="E94">
        <f>_xlfn.XLOOKUP(A94,长度要求!A:A,长度要求!D:D)</f>
        <v>200</v>
      </c>
      <c r="F94" t="str">
        <f t="shared" si="5"/>
        <v>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v>
      </c>
    </row>
    <row r="95" spans="1:6">
      <c r="A95">
        <f t="shared" si="3"/>
        <v>4</v>
      </c>
      <c r="B95" t="s">
        <v>381</v>
      </c>
      <c r="C95" t="s">
        <v>1327</v>
      </c>
      <c r="D95">
        <f t="shared" si="4"/>
        <v>645</v>
      </c>
      <c r="E95">
        <f>_xlfn.XLOOKUP(A95,长度要求!A:A,长度要求!D:D)</f>
        <v>200</v>
      </c>
      <c r="F95" t="str">
        <f t="shared" si="5"/>
        <v>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v>
      </c>
    </row>
    <row r="96" spans="1:6">
      <c r="A96">
        <f t="shared" si="3"/>
        <v>4</v>
      </c>
      <c r="B96" t="s">
        <v>381</v>
      </c>
      <c r="C96" t="s">
        <v>1327</v>
      </c>
      <c r="D96">
        <f t="shared" si="4"/>
        <v>645</v>
      </c>
      <c r="E96">
        <f>_xlfn.XLOOKUP(A96,长度要求!A:A,长度要求!D:D)</f>
        <v>200</v>
      </c>
      <c r="F96" t="str">
        <f t="shared" si="5"/>
        <v>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v>
      </c>
    </row>
    <row r="97" spans="1:6">
      <c r="A97">
        <f t="shared" si="3"/>
        <v>4</v>
      </c>
      <c r="B97" t="s">
        <v>381</v>
      </c>
      <c r="C97" t="s">
        <v>1327</v>
      </c>
      <c r="D97">
        <f t="shared" si="4"/>
        <v>645</v>
      </c>
      <c r="E97">
        <f>_xlfn.XLOOKUP(A97,长度要求!A:A,长度要求!D:D)</f>
        <v>200</v>
      </c>
      <c r="F97" t="str">
        <f t="shared" si="5"/>
        <v>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v>
      </c>
    </row>
    <row r="98" spans="1:6">
      <c r="A98">
        <f t="shared" si="3"/>
        <v>2</v>
      </c>
      <c r="B98" t="s">
        <v>392</v>
      </c>
      <c r="C98" t="s">
        <v>1328</v>
      </c>
      <c r="D98">
        <f t="shared" si="4"/>
        <v>371</v>
      </c>
      <c r="E98">
        <f>_xlfn.XLOOKUP(A98,长度要求!A:A,长度要求!D:D)</f>
        <v>200</v>
      </c>
      <c r="F98" t="str">
        <f t="shared" si="5"/>
        <v>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
隶属于美国开利Carrier空调的ALC公司研发的WebCTRL系统是暖通自控BA行业最先进的系统之一，结合迪麦科公司多年的工程实践经验、强大的专业技术团队和大量数据中心……</v>
      </c>
    </row>
    <row r="99" spans="1:6">
      <c r="A99">
        <f t="shared" si="3"/>
        <v>2</v>
      </c>
      <c r="B99" t="s">
        <v>392</v>
      </c>
      <c r="C99" t="s">
        <v>1328</v>
      </c>
      <c r="D99">
        <f t="shared" si="4"/>
        <v>371</v>
      </c>
      <c r="E99">
        <f>_xlfn.XLOOKUP(A99,长度要求!A:A,长度要求!D:D)</f>
        <v>200</v>
      </c>
      <c r="F99" t="str">
        <f t="shared" si="5"/>
        <v>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
隶属于美国开利Carrier空调的ALC公司研发的WebCTRL系统是暖通自控BA行业最先进的系统之一，结合迪麦科公司多年的工程实践经验、强大的专业技术团队和大量数据中心……</v>
      </c>
    </row>
    <row r="100" spans="1:6">
      <c r="A100">
        <f t="shared" si="3"/>
        <v>3</v>
      </c>
      <c r="B100" t="s">
        <v>398</v>
      </c>
      <c r="C100" t="s">
        <v>399</v>
      </c>
      <c r="D100">
        <f t="shared" si="4"/>
        <v>84</v>
      </c>
      <c r="E100">
        <f>_xlfn.XLOOKUP(A100,长度要求!A:A,长度要求!D:D)</f>
        <v>200</v>
      </c>
      <c r="F100" t="str">
        <f t="shared" si="5"/>
        <v>木圣科技是一家从事3D虚拟现实的高新科技企业。主要是以3D制作，VR（虚拟现实），AR（增强现实）开发为核心业务。致力于国内外各个行业的虚拟现时内容定制服务和解决方案。</v>
      </c>
    </row>
    <row r="101" spans="1:6">
      <c r="A101">
        <f t="shared" si="3"/>
        <v>1</v>
      </c>
      <c r="B101" t="s">
        <v>403</v>
      </c>
      <c r="C101" t="s">
        <v>1329</v>
      </c>
      <c r="D101">
        <f t="shared" si="4"/>
        <v>289</v>
      </c>
      <c r="E101">
        <f>_xlfn.XLOOKUP(A101,长度要求!A:A,长度要求!D:D)</f>
        <v>200</v>
      </c>
      <c r="F101" t="str">
        <f t="shared" si="5"/>
        <v>闵行区吴泾第一幼儿园创办于1983年，目前拥有枫桦园（大班部）、剑川园（中班部）、永德园（托小班部）三个园区，1998年被评为上海市一级园，先后荣获上海市平安示范单位、区文明单位、区教育系统优秀教工之家、优秀教工小家等荣誉称号；是闵行区“见习教师规范化培训基地”、“保育见习基地”。
  幼儿园始终以办一所“幼儿喜欢、家长认可、社区满意”的家门口好幼儿园为目标，确立“以美润心，和谐发展”的办园理念，……</v>
      </c>
    </row>
    <row r="102" spans="1:6">
      <c r="A102">
        <f t="shared" si="3"/>
        <v>1</v>
      </c>
      <c r="B102" t="s">
        <v>407</v>
      </c>
      <c r="C102" t="s">
        <v>1330</v>
      </c>
      <c r="D102">
        <f t="shared" si="4"/>
        <v>659</v>
      </c>
      <c r="E102">
        <f>_xlfn.XLOOKUP(A102,长度要求!A:A,长度要求!D:D)</f>
        <v>200</v>
      </c>
      <c r="F102" t="str">
        <f t="shared" si="5"/>
        <v>       宋庆龄幼儿园是以国家名誉主席宋庆龄女士的名字命名，宋庆龄幼儿园座落于充满生机的赵巷绿色生活居住园区和虹桥经济开发区。是一所致力于推广优质早期教育的知名国际学校。宋庆龄幼儿园隶属于宋庆龄创办的中国福利会的事业单位，是国内外享有盛誉的上海市优质示范幼儿园。
       宋庆龄幼儿园坚持“在教育过程中尊重与要求和谐统一”的教育理念，以发展孩子个性，开发孩子潜能，促进孩子整体和谐发展为核心……</v>
      </c>
    </row>
    <row r="103" spans="1:6">
      <c r="A103">
        <f t="shared" si="3"/>
        <v>5</v>
      </c>
      <c r="B103" t="s">
        <v>276</v>
      </c>
      <c r="C103" t="s">
        <v>277</v>
      </c>
      <c r="D103">
        <f t="shared" si="4"/>
        <v>304</v>
      </c>
      <c r="E103">
        <f>_xlfn.XLOOKUP(A103,长度要求!A:A,长度要求!D:D)</f>
        <v>200</v>
      </c>
      <c r="F103" t="str">
        <f t="shared" si="5"/>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row>
    <row r="104" spans="1:6">
      <c r="A104">
        <f t="shared" si="3"/>
        <v>3</v>
      </c>
      <c r="B104" t="s">
        <v>398</v>
      </c>
      <c r="C104" t="s">
        <v>399</v>
      </c>
      <c r="D104">
        <f t="shared" si="4"/>
        <v>84</v>
      </c>
      <c r="E104">
        <f>_xlfn.XLOOKUP(A104,长度要求!A:A,长度要求!D:D)</f>
        <v>200</v>
      </c>
      <c r="F104" t="str">
        <f t="shared" si="5"/>
        <v>木圣科技是一家从事3D虚拟现实的高新科技企业。主要是以3D制作，VR（虚拟现实），AR（增强现实）开发为核心业务。致力于国内外各个行业的虚拟现时内容定制服务和解决方案。</v>
      </c>
    </row>
    <row r="105" spans="1:6">
      <c r="A105">
        <f t="shared" si="3"/>
        <v>3</v>
      </c>
      <c r="B105" t="s">
        <v>398</v>
      </c>
      <c r="C105" t="s">
        <v>399</v>
      </c>
      <c r="D105">
        <f t="shared" si="4"/>
        <v>84</v>
      </c>
      <c r="E105">
        <f>_xlfn.XLOOKUP(A105,长度要求!A:A,长度要求!D:D)</f>
        <v>200</v>
      </c>
      <c r="F105" t="str">
        <f t="shared" si="5"/>
        <v>木圣科技是一家从事3D虚拟现实的高新科技企业。主要是以3D制作，VR（虚拟现实），AR（增强现实）开发为核心业务。致力于国内外各个行业的虚拟现时内容定制服务和解决方案。</v>
      </c>
    </row>
    <row r="106" spans="1:6">
      <c r="A106">
        <f t="shared" si="3"/>
        <v>2</v>
      </c>
      <c r="B106" t="s">
        <v>31</v>
      </c>
      <c r="C106" t="s">
        <v>1294</v>
      </c>
      <c r="D106">
        <f t="shared" si="4"/>
        <v>697</v>
      </c>
      <c r="E106">
        <f>_xlfn.XLOOKUP(A106,长度要求!A:A,长度要求!D:D)</f>
        <v>200</v>
      </c>
      <c r="F106" t="str">
        <f t="shared" si="5"/>
        <v>上海德辰汽车销售公司是北方一大型汽车经销商集团在上海新投资创立的
一汽大众奥迪品牌 4S 店。超越了传统豪华汽车 4S 店的概念，实际具备品牌体
验、车型展示、新车销售、售后服务、二手车置换等多种功能，完备的设施以
及周到的服务一应俱全，体现出国际豪华品牌全球统一的服务水准。 
 该城市展厅坐落于闵行区颛桥地区（颛兴东路 1280 弄 3 号）。地铁、轻轨
均可到达，交通便捷。地址：颛兴东路 ……</v>
      </c>
    </row>
    <row r="107" spans="1:6">
      <c r="A107">
        <f t="shared" si="3"/>
        <v>4</v>
      </c>
      <c r="B107" t="s">
        <v>422</v>
      </c>
      <c r="C107" t="s">
        <v>1331</v>
      </c>
      <c r="D107">
        <f t="shared" si="4"/>
        <v>208</v>
      </c>
      <c r="E107">
        <f>_xlfn.XLOOKUP(A107,长度要求!A:A,长度要求!D:D)</f>
        <v>200</v>
      </c>
      <c r="F107" t="str">
        <f t="shared" si="5"/>
        <v>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v>
      </c>
    </row>
    <row r="108" spans="1:6">
      <c r="A108">
        <f t="shared" si="3"/>
        <v>4</v>
      </c>
      <c r="B108" t="s">
        <v>422</v>
      </c>
      <c r="C108" t="s">
        <v>1331</v>
      </c>
      <c r="D108">
        <f t="shared" si="4"/>
        <v>208</v>
      </c>
      <c r="E108">
        <f>_xlfn.XLOOKUP(A108,长度要求!A:A,长度要求!D:D)</f>
        <v>200</v>
      </c>
      <c r="F108" t="str">
        <f t="shared" si="5"/>
        <v>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v>
      </c>
    </row>
    <row r="109" spans="1:6">
      <c r="A109">
        <f t="shared" si="3"/>
        <v>4</v>
      </c>
      <c r="B109" t="s">
        <v>422</v>
      </c>
      <c r="C109" t="s">
        <v>1331</v>
      </c>
      <c r="D109">
        <f t="shared" si="4"/>
        <v>208</v>
      </c>
      <c r="E109">
        <f>_xlfn.XLOOKUP(A109,长度要求!A:A,长度要求!D:D)</f>
        <v>200</v>
      </c>
      <c r="F109" t="str">
        <f t="shared" si="5"/>
        <v>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v>
      </c>
    </row>
    <row r="110" spans="1:6">
      <c r="A110">
        <f t="shared" si="3"/>
        <v>4</v>
      </c>
      <c r="B110" t="s">
        <v>422</v>
      </c>
      <c r="C110" t="s">
        <v>1331</v>
      </c>
      <c r="D110">
        <f t="shared" si="4"/>
        <v>208</v>
      </c>
      <c r="E110">
        <f>_xlfn.XLOOKUP(A110,长度要求!A:A,长度要求!D:D)</f>
        <v>200</v>
      </c>
      <c r="F110" t="str">
        <f t="shared" si="5"/>
        <v>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v>
      </c>
    </row>
    <row r="111" spans="1:6">
      <c r="A111">
        <f t="shared" si="3"/>
        <v>2</v>
      </c>
      <c r="B111" t="s">
        <v>141</v>
      </c>
      <c r="C111" t="s">
        <v>142</v>
      </c>
      <c r="D111">
        <f t="shared" si="4"/>
        <v>185</v>
      </c>
      <c r="E111">
        <f>_xlfn.XLOOKUP(A111,长度要求!A:A,长度要求!D:D)</f>
        <v>200</v>
      </c>
      <c r="F111" t="str">
        <f t="shared" si="5"/>
        <v>上海羊鑫布艺有限公司是海派旗袍与新中式文化创新的时尚企业作为上海海派旗袍文化促进会副会长单位,公司以"致知青花"系列为代表,融合传统制衣工艺与现代设计,打造独具东方韵味的高级定制服饰。产品屡获长三角旗袍设计大赛银奖等殊荣,创始人杨玉娟女士获“东方时尚工匠”称号。公司通过时尚闪秀、文化展览等多元化形式,致力于传承和发展海派旗袍文化,推动传统服饰艺术的现代表达与创新发展。</v>
      </c>
    </row>
    <row r="112" spans="1:6">
      <c r="A112">
        <f t="shared" si="3"/>
        <v>3</v>
      </c>
      <c r="B112" t="s">
        <v>441</v>
      </c>
      <c r="C112" t="s">
        <v>1332</v>
      </c>
      <c r="D112">
        <f t="shared" si="4"/>
        <v>625</v>
      </c>
      <c r="E112">
        <f>_xlfn.XLOOKUP(A112,长度要求!A:A,长度要求!D:D)</f>
        <v>200</v>
      </c>
      <c r="F112" t="str">
        <f t="shared" si="5"/>
        <v>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v>
      </c>
    </row>
    <row r="113" spans="1:6">
      <c r="A113">
        <f t="shared" si="3"/>
        <v>3</v>
      </c>
      <c r="B113" t="s">
        <v>446</v>
      </c>
      <c r="C113" t="s">
        <v>1333</v>
      </c>
      <c r="D113">
        <f t="shared" si="4"/>
        <v>194</v>
      </c>
      <c r="E113">
        <f>_xlfn.XLOOKUP(A113,长度要求!A:A,长度要求!D:D)</f>
        <v>200</v>
      </c>
      <c r="F113" t="str">
        <f t="shared" si="5"/>
        <v>       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v>
      </c>
    </row>
    <row r="114" spans="1:6">
      <c r="A114">
        <f t="shared" si="3"/>
        <v>8</v>
      </c>
      <c r="B114" t="s">
        <v>450</v>
      </c>
      <c r="C114" t="s">
        <v>1334</v>
      </c>
      <c r="D114">
        <f t="shared" si="4"/>
        <v>1368</v>
      </c>
      <c r="E114">
        <f>_xlfn.XLOOKUP(A114,长度要求!A:A,长度要求!D:D)</f>
        <v>200</v>
      </c>
      <c r="F114" t="str">
        <f t="shared" si="5"/>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115" spans="1:6">
      <c r="A115">
        <f t="shared" si="3"/>
        <v>6</v>
      </c>
      <c r="B115" t="s">
        <v>455</v>
      </c>
      <c r="C115" t="s">
        <v>1335</v>
      </c>
      <c r="D115">
        <f t="shared" si="4"/>
        <v>381</v>
      </c>
      <c r="E115">
        <f>_xlfn.XLOOKUP(A115,长度要求!A:A,长度要求!D:D)</f>
        <v>200</v>
      </c>
      <c r="F115" t="str">
        <f t="shared" si="5"/>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116" spans="1:6">
      <c r="A116">
        <f t="shared" si="3"/>
        <v>2</v>
      </c>
      <c r="B116" t="s">
        <v>459</v>
      </c>
      <c r="C116" t="s">
        <v>1336</v>
      </c>
      <c r="D116">
        <f t="shared" si="4"/>
        <v>614</v>
      </c>
      <c r="E116">
        <f>_xlfn.XLOOKUP(A116,长度要求!A:A,长度要求!D:D)</f>
        <v>200</v>
      </c>
      <c r="F116" t="str">
        <f t="shared" si="5"/>
        <v>    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
    多年来始……</v>
      </c>
    </row>
    <row r="117" spans="1:6">
      <c r="A117">
        <f t="shared" si="3"/>
        <v>5</v>
      </c>
      <c r="B117" t="s">
        <v>83</v>
      </c>
      <c r="C117" t="s">
        <v>1299</v>
      </c>
      <c r="D117">
        <f t="shared" si="4"/>
        <v>857</v>
      </c>
      <c r="E117">
        <f>_xlfn.XLOOKUP(A117,长度要求!A:A,长度要求!D:D)</f>
        <v>200</v>
      </c>
      <c r="F117" t="str">
        <f t="shared" si="5"/>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row>
    <row r="118" spans="1:6">
      <c r="A118">
        <f t="shared" si="3"/>
        <v>5</v>
      </c>
      <c r="B118" t="s">
        <v>83</v>
      </c>
      <c r="C118" t="s">
        <v>1299</v>
      </c>
      <c r="D118">
        <f t="shared" si="4"/>
        <v>857</v>
      </c>
      <c r="E118">
        <f>_xlfn.XLOOKUP(A118,长度要求!A:A,长度要求!D:D)</f>
        <v>200</v>
      </c>
      <c r="F118" t="str">
        <f t="shared" si="5"/>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row>
    <row r="119" spans="1:6">
      <c r="A119">
        <f t="shared" si="3"/>
        <v>5</v>
      </c>
      <c r="B119" t="s">
        <v>83</v>
      </c>
      <c r="C119" t="s">
        <v>1299</v>
      </c>
      <c r="D119">
        <f t="shared" si="4"/>
        <v>857</v>
      </c>
      <c r="E119">
        <f>_xlfn.XLOOKUP(A119,长度要求!A:A,长度要求!D:D)</f>
        <v>200</v>
      </c>
      <c r="F119" t="str">
        <f t="shared" si="5"/>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row>
    <row r="120" spans="1:6">
      <c r="A120">
        <f t="shared" si="3"/>
        <v>5</v>
      </c>
      <c r="B120" t="s">
        <v>83</v>
      </c>
      <c r="C120" t="s">
        <v>1299</v>
      </c>
      <c r="D120">
        <f t="shared" si="4"/>
        <v>857</v>
      </c>
      <c r="E120">
        <f>_xlfn.XLOOKUP(A120,长度要求!A:A,长度要求!D:D)</f>
        <v>200</v>
      </c>
      <c r="F120" t="str">
        <f t="shared" si="5"/>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row>
    <row r="121" spans="1:6">
      <c r="A121">
        <f t="shared" si="3"/>
        <v>2</v>
      </c>
      <c r="B121" t="s">
        <v>474</v>
      </c>
      <c r="C121" t="s">
        <v>1337</v>
      </c>
      <c r="D121">
        <f t="shared" si="4"/>
        <v>499</v>
      </c>
      <c r="E121">
        <f>_xlfn.XLOOKUP(A121,长度要求!A:A,长度要求!D:D)</f>
        <v>200</v>
      </c>
      <c r="F121" t="str">
        <f t="shared" si="5"/>
        <v>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v>
      </c>
    </row>
    <row r="122" spans="1:6">
      <c r="A122">
        <f t="shared" si="3"/>
        <v>7</v>
      </c>
      <c r="B122" t="s">
        <v>73</v>
      </c>
      <c r="C122" t="s">
        <v>74</v>
      </c>
      <c r="D122">
        <f t="shared" si="4"/>
        <v>82</v>
      </c>
      <c r="E122">
        <f>_xlfn.XLOOKUP(A122,长度要求!A:A,长度要求!D:D)</f>
        <v>200</v>
      </c>
      <c r="F122" t="str">
        <f t="shared" si="5"/>
        <v>上海地矿物业管理有限公司隶属于上市市规划和自然资源局。上海地矿物业管理有限公司城市规划展示馆项目。上海城市规划展示馆市国内售价以展示城市规划与发展为主题专业性场馆。</v>
      </c>
    </row>
    <row r="123" spans="1:6">
      <c r="A123">
        <f t="shared" si="3"/>
        <v>7</v>
      </c>
      <c r="B123" t="s">
        <v>73</v>
      </c>
      <c r="C123" t="s">
        <v>74</v>
      </c>
      <c r="D123">
        <f t="shared" si="4"/>
        <v>82</v>
      </c>
      <c r="E123">
        <f>_xlfn.XLOOKUP(A123,长度要求!A:A,长度要求!D:D)</f>
        <v>200</v>
      </c>
      <c r="F123" t="str">
        <f t="shared" si="5"/>
        <v>上海地矿物业管理有限公司隶属于上市市规划和自然资源局。上海地矿物业管理有限公司城市规划展示馆项目。上海城市规划展示馆市国内售价以展示城市规划与发展为主题专业性场馆。</v>
      </c>
    </row>
    <row r="124" spans="1:6">
      <c r="A124">
        <f t="shared" si="3"/>
        <v>2</v>
      </c>
      <c r="B124" t="s">
        <v>485</v>
      </c>
      <c r="C124" t="s">
        <v>1338</v>
      </c>
      <c r="D124">
        <f t="shared" si="4"/>
        <v>1172</v>
      </c>
      <c r="E124">
        <f>_xlfn.XLOOKUP(A124,长度要求!A:A,长度要求!D:D)</f>
        <v>200</v>
      </c>
      <c r="F124" t="str">
        <f t="shared" si="5"/>
        <v>菁茼（上海）教育科技有限公司｜致年轻伙伴的一封信
嘿，未来的“电竞筑梦人”：
我们是菁茼（上海）教育科技——一群深耕电竞产业的“玩家”，也是一群想为年轻人搭舞台的“造梦者”。
如果你问我们是谁？
我们是​​电竞教育领域的“实战派”​​：和20+高校深度合作，把课堂搬到真实赛场，带学生边学赛事策划、电竞运营，边参与千万级流量赛事执行；从游戏解说到数据分析师，我们用产业需求定义“人才标准”。
我们是​……</v>
      </c>
    </row>
    <row r="125" spans="1:6">
      <c r="A125">
        <f t="shared" si="3"/>
        <v>2</v>
      </c>
      <c r="B125" t="s">
        <v>485</v>
      </c>
      <c r="C125" t="s">
        <v>1338</v>
      </c>
      <c r="D125">
        <f t="shared" si="4"/>
        <v>1172</v>
      </c>
      <c r="E125">
        <f>_xlfn.XLOOKUP(A125,长度要求!A:A,长度要求!D:D)</f>
        <v>200</v>
      </c>
      <c r="F125" t="str">
        <f t="shared" si="5"/>
        <v>菁茼（上海）教育科技有限公司｜致年轻伙伴的一封信
嘿，未来的“电竞筑梦人”：
我们是菁茼（上海）教育科技——一群深耕电竞产业的“玩家”，也是一群想为年轻人搭舞台的“造梦者”。
如果你问我们是谁？
我们是​​电竞教育领域的“实战派”​​：和20+高校深度合作，把课堂搬到真实赛场，带学生边学赛事策划、电竞运营，边参与千万级流量赛事执行；从游戏解说到数据分析师，我们用产业需求定义“人才标准”。
我们是​……</v>
      </c>
    </row>
    <row r="126" spans="1:6">
      <c r="A126">
        <f t="shared" si="3"/>
        <v>5</v>
      </c>
      <c r="B126" t="s">
        <v>491</v>
      </c>
      <c r="C126" t="s">
        <v>1339</v>
      </c>
      <c r="D126">
        <f t="shared" si="4"/>
        <v>551</v>
      </c>
      <c r="E126">
        <f>_xlfn.XLOOKUP(A126,长度要求!A:A,长度要求!D:D)</f>
        <v>200</v>
      </c>
      <c r="F126" t="str">
        <f t="shared" si="5"/>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row>
    <row r="127" spans="1:6">
      <c r="A127">
        <f t="shared" si="3"/>
        <v>5</v>
      </c>
      <c r="B127" t="s">
        <v>491</v>
      </c>
      <c r="C127" t="s">
        <v>1339</v>
      </c>
      <c r="D127">
        <f t="shared" si="4"/>
        <v>551</v>
      </c>
      <c r="E127">
        <f>_xlfn.XLOOKUP(A127,长度要求!A:A,长度要求!D:D)</f>
        <v>200</v>
      </c>
      <c r="F127" t="str">
        <f t="shared" si="5"/>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row>
    <row r="128" spans="1:6">
      <c r="A128">
        <f t="shared" si="3"/>
        <v>5</v>
      </c>
      <c r="B128" t="s">
        <v>491</v>
      </c>
      <c r="C128" t="s">
        <v>1339</v>
      </c>
      <c r="D128">
        <f t="shared" si="4"/>
        <v>551</v>
      </c>
      <c r="E128">
        <f>_xlfn.XLOOKUP(A128,长度要求!A:A,长度要求!D:D)</f>
        <v>200</v>
      </c>
      <c r="F128" t="str">
        <f t="shared" si="5"/>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row>
    <row r="129" spans="1:6">
      <c r="A129">
        <f t="shared" si="3"/>
        <v>5</v>
      </c>
      <c r="B129" t="s">
        <v>491</v>
      </c>
      <c r="C129" t="s">
        <v>1339</v>
      </c>
      <c r="D129">
        <f t="shared" si="4"/>
        <v>551</v>
      </c>
      <c r="E129">
        <f>_xlfn.XLOOKUP(A129,长度要求!A:A,长度要求!D:D)</f>
        <v>200</v>
      </c>
      <c r="F129" t="str">
        <f t="shared" si="5"/>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row>
    <row r="130" spans="1:6">
      <c r="A130">
        <f t="shared" ref="A130:A193" si="6">COUNTIF(B:B,B130)</f>
        <v>5</v>
      </c>
      <c r="B130" t="s">
        <v>491</v>
      </c>
      <c r="C130" t="s">
        <v>1339</v>
      </c>
      <c r="D130">
        <f t="shared" ref="D130:D193" si="7">LEN(C130)</f>
        <v>551</v>
      </c>
      <c r="E130">
        <f>_xlfn.XLOOKUP(A130,长度要求!A:A,长度要求!D:D)</f>
        <v>200</v>
      </c>
      <c r="F130" t="str">
        <f t="shared" ref="F130:F193" si="8">IF(D130&lt;E130,C130,LEFT(C130,E130)&amp;"……")</f>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row>
    <row r="131" spans="1:6">
      <c r="A131">
        <f t="shared" si="6"/>
        <v>2</v>
      </c>
      <c r="B131" t="s">
        <v>505</v>
      </c>
      <c r="C131" t="s">
        <v>506</v>
      </c>
      <c r="D131">
        <f t="shared" si="7"/>
        <v>65</v>
      </c>
      <c r="E131">
        <f>_xlfn.XLOOKUP(A131,长度要求!A:A,长度要求!D:D)</f>
        <v>200</v>
      </c>
      <c r="F131" t="str">
        <f t="shared" si="8"/>
        <v>上海仕派鸣进出口贸易有限公司成立于2009年01月14日，注册地位于浦东新区杨新东路。经营范围包括一般项目：货物进出口，技术进出口</v>
      </c>
    </row>
    <row r="132" spans="1:6">
      <c r="A132">
        <f t="shared" si="6"/>
        <v>2</v>
      </c>
      <c r="B132" t="s">
        <v>505</v>
      </c>
      <c r="C132" t="s">
        <v>506</v>
      </c>
      <c r="D132">
        <f t="shared" si="7"/>
        <v>65</v>
      </c>
      <c r="E132">
        <f>_xlfn.XLOOKUP(A132,长度要求!A:A,长度要求!D:D)</f>
        <v>200</v>
      </c>
      <c r="F132" t="str">
        <f t="shared" si="8"/>
        <v>上海仕派鸣进出口贸易有限公司成立于2009年01月14日，注册地位于浦东新区杨新东路。经营范围包括一般项目：货物进出口，技术进出口</v>
      </c>
    </row>
    <row r="133" spans="1:6">
      <c r="A133">
        <f t="shared" si="6"/>
        <v>1</v>
      </c>
      <c r="B133" t="s">
        <v>513</v>
      </c>
      <c r="C133" t="s">
        <v>514</v>
      </c>
      <c r="D133">
        <f t="shared" si="7"/>
        <v>56</v>
      </c>
      <c r="E133">
        <f>_xlfn.XLOOKUP(A133,长度要求!A:A,长度要求!D:D)</f>
        <v>200</v>
      </c>
      <c r="F133" t="str">
        <f t="shared" si="8"/>
        <v>上海市闵行区罗阳河畔幼儿园是一所位于罗阳地区的一所公办幼儿园，上海市一级园。分2个园部，靠近地铁一号线外环路站。</v>
      </c>
    </row>
    <row r="134" spans="1:6">
      <c r="A134">
        <f t="shared" si="6"/>
        <v>1</v>
      </c>
      <c r="B134" t="s">
        <v>517</v>
      </c>
      <c r="C134" t="s">
        <v>1340</v>
      </c>
      <c r="D134">
        <f t="shared" si="7"/>
        <v>659</v>
      </c>
      <c r="E134">
        <f>_xlfn.XLOOKUP(A134,长度要求!A:A,长度要求!D:D)</f>
        <v>200</v>
      </c>
      <c r="F134" t="str">
        <f t="shared" si="8"/>
        <v>鑫都幼儿园成立于 2010 年 9 月，隶属于闵行区教育局，是一所公办幼儿园。园所位于莘庄工业区新源路 2760 号，占地面积达 11000 平方米，是闵行区单体规模最大的幼儿园之一。​
我们以 “让每一个孩子都闪亮，让每一位教工都成长” 为办园理念，致力于为孩子打造 “金色童年、金色梦想、金色乐园” 的成长环境；以 “绿色环保” 为办园特色，通过丰富的亲自然活动启蒙孩子环保意识与习惯。开园至今，……</v>
      </c>
    </row>
    <row r="135" spans="1:6">
      <c r="A135">
        <f t="shared" si="6"/>
        <v>1</v>
      </c>
      <c r="B135" t="s">
        <v>521</v>
      </c>
      <c r="C135" t="s">
        <v>1341</v>
      </c>
      <c r="D135">
        <f t="shared" si="7"/>
        <v>285</v>
      </c>
      <c r="E135">
        <f>_xlfn.XLOOKUP(A135,长度要求!A:A,长度要求!D:D)</f>
        <v>200</v>
      </c>
      <c r="F135" t="str">
        <f t="shared" si="8"/>
        <v>      上海市闵行区七宝皇都幼儿园成立于2020年9月，是一所全日制公办幼儿园，由闵行区教育局、七宝镇政府委托闵行区启英幼儿园进行全面管理。幼儿园园长韩秀华是上海市特级教师、上海市正高级教师、同时还兼任启英幼儿园书记和园长。
      幼儿园秉持“享自主生活  筑成长乐都”的办园理念，回归“幼儿园一日生活皆课程”的教育本源，倡导每位教职工走进幼儿心灵，追随幼儿需要，尊重幼儿行为，释放幼儿天性……</v>
      </c>
    </row>
    <row r="136" spans="1:6">
      <c r="A136">
        <f t="shared" si="6"/>
        <v>1</v>
      </c>
      <c r="B136" t="s">
        <v>525</v>
      </c>
      <c r="C136" t="s">
        <v>526</v>
      </c>
      <c r="D136">
        <f t="shared" si="7"/>
        <v>40</v>
      </c>
      <c r="E136">
        <f>_xlfn.XLOOKUP(A136,长度要求!A:A,长度要求!D:D)</f>
        <v>200</v>
      </c>
      <c r="F136" t="str">
        <f t="shared" si="8"/>
        <v>上海信玺信息科技有限公司是以纺织服装辅助教育为主的企业，主要致力于纺织服装信息化</v>
      </c>
    </row>
    <row r="137" spans="1:6">
      <c r="A137">
        <f t="shared" si="6"/>
        <v>3</v>
      </c>
      <c r="B137" t="s">
        <v>530</v>
      </c>
      <c r="C137" t="s">
        <v>1342</v>
      </c>
      <c r="D137">
        <f t="shared" si="7"/>
        <v>371</v>
      </c>
      <c r="E137">
        <f>_xlfn.XLOOKUP(A137,长度要求!A:A,长度要求!D:D)</f>
        <v>200</v>
      </c>
      <c r="F137" t="str">
        <f t="shared" si="8"/>
        <v>果栗智造(上海)技术股份有限公司成立于2015年，拥有实力雄厚的研发中心和制造中心，专注于磁悬浮驱动传输技术的研发与创新，是行业领先的智能柔性传输系统解决方案供应商。
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v>
      </c>
    </row>
    <row r="138" spans="1:6">
      <c r="A138">
        <f t="shared" si="6"/>
        <v>3</v>
      </c>
      <c r="B138" t="s">
        <v>530</v>
      </c>
      <c r="C138" t="s">
        <v>1342</v>
      </c>
      <c r="D138">
        <f t="shared" si="7"/>
        <v>371</v>
      </c>
      <c r="E138">
        <f>_xlfn.XLOOKUP(A138,长度要求!A:A,长度要求!D:D)</f>
        <v>200</v>
      </c>
      <c r="F138" t="str">
        <f t="shared" si="8"/>
        <v>果栗智造(上海)技术股份有限公司成立于2015年，拥有实力雄厚的研发中心和制造中心，专注于磁悬浮驱动传输技术的研发与创新，是行业领先的智能柔性传输系统解决方案供应商。
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v>
      </c>
    </row>
    <row r="139" spans="1:6">
      <c r="A139">
        <f t="shared" si="6"/>
        <v>1</v>
      </c>
      <c r="B139" t="s">
        <v>537</v>
      </c>
      <c r="C139" t="s">
        <v>1343</v>
      </c>
      <c r="D139">
        <f t="shared" si="7"/>
        <v>217</v>
      </c>
      <c r="E139">
        <f>_xlfn.XLOOKUP(A139,长度要求!A:A,长度要求!D:D)</f>
        <v>200</v>
      </c>
      <c r="F139" t="str">
        <f t="shared" si="8"/>
        <v>      上海市闵行区爱博果果幼儿园（简称“果园”）是一所直属于闵行区教育局的全日制公办幼儿园，上海市示范性幼儿园。自2013年9月开办以来，果园始终紧随学前教育改革步伐，追寻“在自然的果园里赋予儿童生长的力量”美好样态，在“多彩果园 本然生长”的办园理念引领下，打造自然生态、互动多元的游戏场域，构建“阅生活”“阅社会”“阅自然”的课程，并努力探寻数智技术与幼儿培育场景的融合创新，丰富孩子的童年……</v>
      </c>
    </row>
    <row r="140" spans="1:6">
      <c r="A140">
        <f t="shared" si="6"/>
        <v>3</v>
      </c>
      <c r="B140" t="s">
        <v>530</v>
      </c>
      <c r="C140" t="s">
        <v>1342</v>
      </c>
      <c r="D140">
        <f t="shared" si="7"/>
        <v>371</v>
      </c>
      <c r="E140">
        <f>_xlfn.XLOOKUP(A140,长度要求!A:A,长度要求!D:D)</f>
        <v>200</v>
      </c>
      <c r="F140" t="str">
        <f t="shared" si="8"/>
        <v>果栗智造(上海)技术股份有限公司成立于2015年，拥有实力雄厚的研发中心和制造中心，专注于磁悬浮驱动传输技术的研发与创新，是行业领先的智能柔性传输系统解决方案供应商。
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v>
      </c>
    </row>
    <row r="141" spans="1:6">
      <c r="A141">
        <f t="shared" si="6"/>
        <v>5</v>
      </c>
      <c r="B141" t="s">
        <v>276</v>
      </c>
      <c r="C141" t="s">
        <v>277</v>
      </c>
      <c r="D141">
        <f t="shared" si="7"/>
        <v>304</v>
      </c>
      <c r="E141">
        <f>_xlfn.XLOOKUP(A141,长度要求!A:A,长度要求!D:D)</f>
        <v>200</v>
      </c>
      <c r="F141" t="str">
        <f t="shared" si="8"/>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row>
    <row r="142" spans="1:6">
      <c r="A142">
        <f t="shared" si="6"/>
        <v>1</v>
      </c>
      <c r="B142" t="s">
        <v>546</v>
      </c>
      <c r="C142" t="s">
        <v>547</v>
      </c>
      <c r="D142">
        <f t="shared" si="7"/>
        <v>152</v>
      </c>
      <c r="E142">
        <f>_xlfn.XLOOKUP(A142,长度要求!A:A,长度要求!D:D)</f>
        <v>200</v>
      </c>
      <c r="F142" t="str">
        <f t="shared" si="8"/>
        <v>途虎养车于2011年在上海成立，是一家致力于提升汽车服务品质和产业效率的创新企业，于2023年9月26日正式在香港联合交易所主板挂牌上市。途虎养车以“让养车更简单”为使命，为用户提供换轮胎、做保养、汽车美容、汽车用品等服务和产品，并通过线上下单、线下安装的方式，让消费者享受到正品、专业的一站式服务体验。</v>
      </c>
    </row>
    <row r="143" spans="1:6">
      <c r="A143">
        <f t="shared" si="6"/>
        <v>2</v>
      </c>
      <c r="B143" t="s">
        <v>553</v>
      </c>
      <c r="C143" t="s">
        <v>1344</v>
      </c>
      <c r="D143">
        <f t="shared" si="7"/>
        <v>180</v>
      </c>
      <c r="E143">
        <f>_xlfn.XLOOKUP(A143,长度要求!A:A,长度要求!D:D)</f>
        <v>200</v>
      </c>
      <c r="F143" t="str">
        <f t="shared" si="8"/>
        <v>上海市闵行区中福会浦江幼儿园是一所闵行区公办幼儿园。中福会浦江幼儿园秉承宋庆龄女士“ 把最宝贵的东西给予儿童 ”的教学方针，积极探索，从人与社会、自我、自然三个维度出发，以“关爱心、自由性、文化情”核心素养为基础，创设安全、多元、丰富，且具有挑战意义的真实情境，培养有爱心、善交往、愿接纳、能适应、乐生活、享自主、会学习、喜探索、勇挑战的儿童，为终身发展奠基。</v>
      </c>
    </row>
    <row r="144" spans="1:6">
      <c r="A144">
        <f t="shared" si="6"/>
        <v>3</v>
      </c>
      <c r="B144" t="s">
        <v>558</v>
      </c>
      <c r="C144" t="s">
        <v>559</v>
      </c>
      <c r="D144">
        <f t="shared" si="7"/>
        <v>287</v>
      </c>
      <c r="E144">
        <f>_xlfn.XLOOKUP(A144,长度要求!A:A,长度要求!D:D)</f>
        <v>200</v>
      </c>
      <c r="F144" t="str">
        <f t="shared" si="8"/>
        <v>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v>
      </c>
    </row>
    <row r="145" spans="1:6">
      <c r="A145">
        <f t="shared" si="6"/>
        <v>3</v>
      </c>
      <c r="B145" t="s">
        <v>558</v>
      </c>
      <c r="C145" t="s">
        <v>559</v>
      </c>
      <c r="D145">
        <f t="shared" si="7"/>
        <v>287</v>
      </c>
      <c r="E145">
        <f>_xlfn.XLOOKUP(A145,长度要求!A:A,长度要求!D:D)</f>
        <v>200</v>
      </c>
      <c r="F145" t="str">
        <f t="shared" si="8"/>
        <v>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v>
      </c>
    </row>
    <row r="146" spans="1:6">
      <c r="A146">
        <f t="shared" si="6"/>
        <v>1</v>
      </c>
      <c r="B146" t="s">
        <v>564</v>
      </c>
      <c r="C146" t="s">
        <v>1345</v>
      </c>
      <c r="D146">
        <f t="shared" si="7"/>
        <v>282</v>
      </c>
      <c r="E146">
        <f>_xlfn.XLOOKUP(A146,长度要求!A:A,长度要求!D:D)</f>
        <v>200</v>
      </c>
      <c r="F146" t="str">
        <f t="shared" si="8"/>
        <v>上海沣奕建设咨询有限公司成立于2019年6月，注册资金：1000万元，办公地址：闵行区虹梅南路1789弄9号楼605室。公司已获得“国家高新技术企业”、“闵行区创新型中小企业”、“上海市和谐劳动关系达标企业”等称号，以及健全的ISO三体系认证AAA级企业。公司崇尚严谨、务实、创新，追求专业、高效；已与上海多家知名造价及会计师事务所、资产评估企业都有合作交流，并与知名设计院、监理合作开展全过程工程咨……</v>
      </c>
    </row>
    <row r="147" spans="1:6">
      <c r="A147">
        <f t="shared" si="6"/>
        <v>1</v>
      </c>
      <c r="B147" t="s">
        <v>568</v>
      </c>
      <c r="C147" t="s">
        <v>1346</v>
      </c>
      <c r="D147">
        <f t="shared" si="7"/>
        <v>839</v>
      </c>
      <c r="E147">
        <f>_xlfn.XLOOKUP(A147,长度要求!A:A,长度要求!D:D)</f>
        <v>200</v>
      </c>
      <c r="F147" t="str">
        <f t="shared" si="8"/>
        <v>软通动力信息技术（集团）股份有限公司（以下简称“软通动力”）是中国领先的软件与信息技术服务商，致力于成为具有全球影响力的数字技术服务领导企业，企业数字化转型可信赖合作伙伴。2005年，公司成立于北京，立足中国，服务全球市场。目前，公司在全球40余个城市设有近百个分支机构，构建完善的全球“营销和交付”服务网络，员工近90000人。
秉承用数字技术提升客户价值的使命，软通动力长期提供数字化创新业务服……</v>
      </c>
    </row>
    <row r="148" spans="1:6">
      <c r="A148">
        <f t="shared" si="6"/>
        <v>1</v>
      </c>
      <c r="B148" t="s">
        <v>573</v>
      </c>
      <c r="C148" t="s">
        <v>1347</v>
      </c>
      <c r="D148">
        <f t="shared" si="7"/>
        <v>460</v>
      </c>
      <c r="E148">
        <f>_xlfn.XLOOKUP(A148,长度要求!A:A,长度要求!D:D)</f>
        <v>200</v>
      </c>
      <c r="F148" t="str">
        <f t="shared" si="8"/>
        <v>华东师范大学附属紫竹幼儿园开园于2011年11月，是由华东师范大学、闵行区人民政府和紫竹科技园区三方鼎立打造的一所公办幼儿园，直属于闵行教育局。幼儿园地处紫竹国家高新技术产业开发区，紧靠华师大闵行校区，并与华师大紫竹附小和二附中组成了闵行紫竹基础教育园区。幼儿园紧紧围绕“ECNU”的办学理念(探索、创造、自然、无处不在的学习)，依托闵行区教育局、吴泾镇人民政府和紫竹国家高新区的大力支持以及华东师大……</v>
      </c>
    </row>
    <row r="149" spans="1:6">
      <c r="A149">
        <f t="shared" si="6"/>
        <v>1</v>
      </c>
      <c r="B149" t="s">
        <v>576</v>
      </c>
      <c r="C149" t="s">
        <v>1348</v>
      </c>
      <c r="D149">
        <f t="shared" si="7"/>
        <v>182</v>
      </c>
      <c r="E149">
        <f>_xlfn.XLOOKUP(A149,长度要求!A:A,长度要求!D:D)</f>
        <v>200</v>
      </c>
      <c r="F149" t="str">
        <f t="shared" si="8"/>
        <v>上海衡事欣冷暖设备公司从事数字暖通、建筑节能机电行业22年，在专业领域内，是一家集投资、设计、采购、施工、运营的整体化落地解决方案的专业服务商，有能力为用户提供软硬件一体化的全生命周期服务。
公司现有：总承包贰级、市政总承包贰级、机电贰级、环保贰级、古建筑贰级、钢结构贰级、特种设备B级（锅炉）安装，修理，改造
集中空调系统：维护、保养、消毒许可证等多项专业资质。</v>
      </c>
    </row>
    <row r="150" spans="1:6">
      <c r="A150">
        <f t="shared" si="6"/>
        <v>1</v>
      </c>
      <c r="B150" t="s">
        <v>581</v>
      </c>
      <c r="C150" t="s">
        <v>1349</v>
      </c>
      <c r="D150">
        <f t="shared" si="7"/>
        <v>357</v>
      </c>
      <c r="E150">
        <f>_xlfn.XLOOKUP(A150,长度要求!A:A,长度要求!D:D)</f>
        <v>200</v>
      </c>
      <c r="F150" t="str">
        <f t="shared" si="8"/>
        <v>闵行区虹鹿幼儿园是一所隶属闵行区教育局和虹桥镇政府管理的公办全日制幼儿园，创办于1999年3 月，2004年争创为上海市一级幼儿园，2008年争创为闵行区第一所区级示范园，2010年争创为上海市示范性幼儿园。我园现有虹鹿园与井亭园两个园所，占地面积共8365平方米。    
       十八年来，在全体教职工的共同努力下，幼儿园成绩斐然。先后被评为上海示范性幼儿园、上海市托幼机构保育工作先进集体……</v>
      </c>
    </row>
    <row r="151" spans="1:6">
      <c r="A151">
        <f t="shared" si="6"/>
        <v>3</v>
      </c>
      <c r="B151" t="s">
        <v>584</v>
      </c>
      <c r="C151" t="s">
        <v>1350</v>
      </c>
      <c r="D151">
        <f t="shared" si="7"/>
        <v>1267</v>
      </c>
      <c r="E151">
        <f>_xlfn.XLOOKUP(A151,长度要求!A:A,长度要求!D:D)</f>
        <v>200</v>
      </c>
      <c r="F151" t="str">
        <f t="shared" si="8"/>
        <v>       朴维科技成立于2011年，国家高新技术企业。
       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v>
      </c>
    </row>
    <row r="152" spans="1:6">
      <c r="A152">
        <f t="shared" si="6"/>
        <v>3</v>
      </c>
      <c r="B152" t="s">
        <v>584</v>
      </c>
      <c r="C152" t="s">
        <v>1350</v>
      </c>
      <c r="D152">
        <f t="shared" si="7"/>
        <v>1267</v>
      </c>
      <c r="E152">
        <f>_xlfn.XLOOKUP(A152,长度要求!A:A,长度要求!D:D)</f>
        <v>200</v>
      </c>
      <c r="F152" t="str">
        <f t="shared" si="8"/>
        <v>       朴维科技成立于2011年，国家高新技术企业。
       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v>
      </c>
    </row>
    <row r="153" spans="1:6">
      <c r="A153">
        <f t="shared" si="6"/>
        <v>3</v>
      </c>
      <c r="B153" t="s">
        <v>584</v>
      </c>
      <c r="C153" t="s">
        <v>1350</v>
      </c>
      <c r="D153">
        <f t="shared" si="7"/>
        <v>1267</v>
      </c>
      <c r="E153">
        <f>_xlfn.XLOOKUP(A153,长度要求!A:A,长度要求!D:D)</f>
        <v>200</v>
      </c>
      <c r="F153" t="str">
        <f t="shared" si="8"/>
        <v>       朴维科技成立于2011年，国家高新技术企业。
       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v>
      </c>
    </row>
    <row r="154" spans="1:6">
      <c r="A154">
        <f t="shared" si="6"/>
        <v>4</v>
      </c>
      <c r="B154" t="s">
        <v>327</v>
      </c>
      <c r="C154" t="s">
        <v>1321</v>
      </c>
      <c r="D154">
        <f t="shared" si="7"/>
        <v>422</v>
      </c>
      <c r="E154">
        <f>_xlfn.XLOOKUP(A154,长度要求!A:A,长度要求!D:D)</f>
        <v>200</v>
      </c>
      <c r="F154" t="str">
        <f t="shared" si="8"/>
        <v>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v>
      </c>
    </row>
    <row r="155" spans="1:6">
      <c r="A155">
        <f t="shared" si="6"/>
        <v>5</v>
      </c>
      <c r="B155" t="s">
        <v>598</v>
      </c>
      <c r="C155" t="s">
        <v>1351</v>
      </c>
      <c r="D155">
        <f t="shared" si="7"/>
        <v>531</v>
      </c>
      <c r="E155">
        <f>_xlfn.XLOOKUP(A155,长度要求!A:A,长度要求!D:D)</f>
        <v>200</v>
      </c>
      <c r="F155" t="str">
        <f t="shared" si="8"/>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row>
    <row r="156" spans="1:6">
      <c r="A156">
        <f t="shared" si="6"/>
        <v>3</v>
      </c>
      <c r="B156" t="s">
        <v>603</v>
      </c>
      <c r="C156" t="s">
        <v>1352</v>
      </c>
      <c r="D156">
        <f t="shared" si="7"/>
        <v>496</v>
      </c>
      <c r="E156">
        <f>_xlfn.XLOOKUP(A156,长度要求!A:A,长度要求!D:D)</f>
        <v>200</v>
      </c>
      <c r="F156" t="str">
        <f t="shared" si="8"/>
        <v>   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
   公司建成了华东地区最大的复合材料生……</v>
      </c>
    </row>
    <row r="157" spans="1:6">
      <c r="A157">
        <f t="shared" si="6"/>
        <v>3</v>
      </c>
      <c r="B157" t="s">
        <v>603</v>
      </c>
      <c r="C157" t="s">
        <v>1352</v>
      </c>
      <c r="D157">
        <f t="shared" si="7"/>
        <v>496</v>
      </c>
      <c r="E157">
        <f>_xlfn.XLOOKUP(A157,长度要求!A:A,长度要求!D:D)</f>
        <v>200</v>
      </c>
      <c r="F157" t="str">
        <f t="shared" si="8"/>
        <v>   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
   公司建成了华东地区最大的复合材料生……</v>
      </c>
    </row>
    <row r="158" spans="1:6">
      <c r="A158">
        <f t="shared" si="6"/>
        <v>7</v>
      </c>
      <c r="B158" t="s">
        <v>73</v>
      </c>
      <c r="C158" t="s">
        <v>74</v>
      </c>
      <c r="D158">
        <f t="shared" si="7"/>
        <v>82</v>
      </c>
      <c r="E158">
        <f>_xlfn.XLOOKUP(A158,长度要求!A:A,长度要求!D:D)</f>
        <v>200</v>
      </c>
      <c r="F158" t="str">
        <f t="shared" si="8"/>
        <v>上海地矿物业管理有限公司隶属于上市市规划和自然资源局。上海地矿物业管理有限公司城市规划展示馆项目。上海城市规划展示馆市国内售价以展示城市规划与发展为主题专业性场馆。</v>
      </c>
    </row>
    <row r="159" spans="1:6">
      <c r="A159">
        <f t="shared" si="6"/>
        <v>3</v>
      </c>
      <c r="B159" t="s">
        <v>603</v>
      </c>
      <c r="C159" t="s">
        <v>1352</v>
      </c>
      <c r="D159">
        <f t="shared" si="7"/>
        <v>496</v>
      </c>
      <c r="E159">
        <f>_xlfn.XLOOKUP(A159,长度要求!A:A,长度要求!D:D)</f>
        <v>200</v>
      </c>
      <c r="F159" t="str">
        <f t="shared" si="8"/>
        <v>   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
   公司建成了华东地区最大的复合材料生……</v>
      </c>
    </row>
    <row r="160" spans="1:6">
      <c r="A160">
        <f t="shared" si="6"/>
        <v>8</v>
      </c>
      <c r="B160" t="s">
        <v>614</v>
      </c>
      <c r="C160" t="s">
        <v>1353</v>
      </c>
      <c r="D160">
        <f t="shared" si="7"/>
        <v>358</v>
      </c>
      <c r="E160">
        <f>_xlfn.XLOOKUP(A160,长度要求!A:A,长度要求!D:D)</f>
        <v>200</v>
      </c>
      <c r="F160" t="str">
        <f t="shared" si="8"/>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161" spans="1:6">
      <c r="A161">
        <f t="shared" si="6"/>
        <v>8</v>
      </c>
      <c r="B161" t="s">
        <v>614</v>
      </c>
      <c r="C161" t="s">
        <v>1353</v>
      </c>
      <c r="D161">
        <f t="shared" si="7"/>
        <v>358</v>
      </c>
      <c r="E161">
        <f>_xlfn.XLOOKUP(A161,长度要求!A:A,长度要求!D:D)</f>
        <v>200</v>
      </c>
      <c r="F161" t="str">
        <f t="shared" si="8"/>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162" spans="1:6">
      <c r="A162">
        <f t="shared" si="6"/>
        <v>8</v>
      </c>
      <c r="B162" t="s">
        <v>614</v>
      </c>
      <c r="C162" t="s">
        <v>1353</v>
      </c>
      <c r="D162">
        <f t="shared" si="7"/>
        <v>358</v>
      </c>
      <c r="E162">
        <f>_xlfn.XLOOKUP(A162,长度要求!A:A,长度要求!D:D)</f>
        <v>200</v>
      </c>
      <c r="F162" t="str">
        <f t="shared" si="8"/>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163" spans="1:6">
      <c r="A163">
        <f t="shared" si="6"/>
        <v>8</v>
      </c>
      <c r="B163" t="s">
        <v>614</v>
      </c>
      <c r="C163" t="s">
        <v>1353</v>
      </c>
      <c r="D163">
        <f t="shared" si="7"/>
        <v>358</v>
      </c>
      <c r="E163">
        <f>_xlfn.XLOOKUP(A163,长度要求!A:A,长度要求!D:D)</f>
        <v>200</v>
      </c>
      <c r="F163" t="str">
        <f t="shared" si="8"/>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164" spans="1:6">
      <c r="A164">
        <f t="shared" si="6"/>
        <v>8</v>
      </c>
      <c r="B164" t="s">
        <v>614</v>
      </c>
      <c r="C164" t="s">
        <v>1353</v>
      </c>
      <c r="D164">
        <f t="shared" si="7"/>
        <v>358</v>
      </c>
      <c r="E164">
        <f>_xlfn.XLOOKUP(A164,长度要求!A:A,长度要求!D:D)</f>
        <v>200</v>
      </c>
      <c r="F164" t="str">
        <f t="shared" si="8"/>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165" spans="1:6">
      <c r="A165">
        <f t="shared" si="6"/>
        <v>7</v>
      </c>
      <c r="B165" t="s">
        <v>73</v>
      </c>
      <c r="C165" t="s">
        <v>74</v>
      </c>
      <c r="D165">
        <f t="shared" si="7"/>
        <v>82</v>
      </c>
      <c r="E165">
        <f>_xlfn.XLOOKUP(A165,长度要求!A:A,长度要求!D:D)</f>
        <v>200</v>
      </c>
      <c r="F165" t="str">
        <f t="shared" si="8"/>
        <v>上海地矿物业管理有限公司隶属于上市市规划和自然资源局。上海地矿物业管理有限公司城市规划展示馆项目。上海城市规划展示馆市国内售价以展示城市规划与发展为主题专业性场馆。</v>
      </c>
    </row>
    <row r="166" spans="1:6">
      <c r="A166">
        <f t="shared" si="6"/>
        <v>5</v>
      </c>
      <c r="B166" t="s">
        <v>598</v>
      </c>
      <c r="C166" t="s">
        <v>1351</v>
      </c>
      <c r="D166">
        <f t="shared" si="7"/>
        <v>531</v>
      </c>
      <c r="E166">
        <f>_xlfn.XLOOKUP(A166,长度要求!A:A,长度要求!D:D)</f>
        <v>200</v>
      </c>
      <c r="F166" t="str">
        <f t="shared" si="8"/>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row>
    <row r="167" spans="1:6">
      <c r="A167">
        <f t="shared" si="6"/>
        <v>6</v>
      </c>
      <c r="B167" t="s">
        <v>455</v>
      </c>
      <c r="C167" t="s">
        <v>1335</v>
      </c>
      <c r="D167">
        <f t="shared" si="7"/>
        <v>381</v>
      </c>
      <c r="E167">
        <f>_xlfn.XLOOKUP(A167,长度要求!A:A,长度要求!D:D)</f>
        <v>200</v>
      </c>
      <c r="F167" t="str">
        <f t="shared" si="8"/>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168" spans="1:6">
      <c r="A168">
        <f t="shared" si="6"/>
        <v>6</v>
      </c>
      <c r="B168" t="s">
        <v>455</v>
      </c>
      <c r="C168" t="s">
        <v>1335</v>
      </c>
      <c r="D168">
        <f t="shared" si="7"/>
        <v>381</v>
      </c>
      <c r="E168">
        <f>_xlfn.XLOOKUP(A168,长度要求!A:A,长度要求!D:D)</f>
        <v>200</v>
      </c>
      <c r="F168" t="str">
        <f t="shared" si="8"/>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169" spans="1:6">
      <c r="A169">
        <f t="shared" si="6"/>
        <v>2</v>
      </c>
      <c r="B169" t="s">
        <v>459</v>
      </c>
      <c r="C169" t="s">
        <v>1336</v>
      </c>
      <c r="D169">
        <f t="shared" si="7"/>
        <v>614</v>
      </c>
      <c r="E169">
        <f>_xlfn.XLOOKUP(A169,长度要求!A:A,长度要求!D:D)</f>
        <v>200</v>
      </c>
      <c r="F169" t="str">
        <f t="shared" si="8"/>
        <v>    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
    多年来始……</v>
      </c>
    </row>
    <row r="170" spans="1:6">
      <c r="A170">
        <f t="shared" si="6"/>
        <v>5</v>
      </c>
      <c r="B170" t="s">
        <v>219</v>
      </c>
      <c r="C170" t="s">
        <v>1314</v>
      </c>
      <c r="D170">
        <f t="shared" si="7"/>
        <v>626</v>
      </c>
      <c r="E170">
        <f>_xlfn.XLOOKUP(A170,长度要求!A:A,长度要求!D:D)</f>
        <v>200</v>
      </c>
      <c r="F170" t="str">
        <f t="shared" si="8"/>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row>
    <row r="171" spans="1:6">
      <c r="A171">
        <f t="shared" si="6"/>
        <v>7</v>
      </c>
      <c r="B171" t="s">
        <v>647</v>
      </c>
      <c r="C171" t="s">
        <v>1354</v>
      </c>
      <c r="D171">
        <f t="shared" si="7"/>
        <v>208</v>
      </c>
      <c r="E171">
        <f>_xlfn.XLOOKUP(A171,长度要求!A:A,长度要求!D:D)</f>
        <v>200</v>
      </c>
      <c r="F171" t="str">
        <f t="shared" si="8"/>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172" spans="1:6">
      <c r="A172">
        <f t="shared" si="6"/>
        <v>5</v>
      </c>
      <c r="B172" t="s">
        <v>323</v>
      </c>
      <c r="C172" t="s">
        <v>324</v>
      </c>
      <c r="D172">
        <f t="shared" si="7"/>
        <v>173</v>
      </c>
      <c r="E172">
        <f>_xlfn.XLOOKUP(A172,长度要求!A:A,长度要求!D:D)</f>
        <v>200</v>
      </c>
      <c r="F172" t="str">
        <f t="shared" si="8"/>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row>
    <row r="173" spans="1:6">
      <c r="A173">
        <f t="shared" si="6"/>
        <v>5</v>
      </c>
      <c r="B173" t="s">
        <v>323</v>
      </c>
      <c r="C173" t="s">
        <v>324</v>
      </c>
      <c r="D173">
        <f t="shared" si="7"/>
        <v>173</v>
      </c>
      <c r="E173">
        <f>_xlfn.XLOOKUP(A173,长度要求!A:A,长度要求!D:D)</f>
        <v>200</v>
      </c>
      <c r="F173" t="str">
        <f t="shared" si="8"/>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row>
    <row r="174" spans="1:6">
      <c r="A174">
        <f t="shared" si="6"/>
        <v>2</v>
      </c>
      <c r="B174" t="s">
        <v>656</v>
      </c>
      <c r="C174" t="s">
        <v>1355</v>
      </c>
      <c r="D174">
        <f t="shared" si="7"/>
        <v>262</v>
      </c>
      <c r="E174">
        <f>_xlfn.XLOOKUP(A174,长度要求!A:A,长度要求!D:D)</f>
        <v>200</v>
      </c>
      <c r="F174" t="str">
        <f t="shared" si="8"/>
        <v>上海新进芯微电子有限公司隶属于美国Diodes 公司，成立于2007年年底，坐落于上海紫竹科学园区，公司现有全职员工600余人，其中从事设计和工程的技术团队为300余人。
公司拥有6英寸以及8英寸晶圆制造净化厂房，可以为系统客户提供采用先进的模拟IC设计和研发、以及利用高阶的生产工艺（如Bipolar、CMOS、BiCDMOS 、TVS和SKY等）所制造的多元化高效能半导体产品，并且通过了ISO9……</v>
      </c>
    </row>
    <row r="175" spans="1:6">
      <c r="A175">
        <f t="shared" si="6"/>
        <v>7</v>
      </c>
      <c r="B175" t="s">
        <v>73</v>
      </c>
      <c r="C175" t="s">
        <v>74</v>
      </c>
      <c r="D175">
        <f t="shared" si="7"/>
        <v>82</v>
      </c>
      <c r="E175">
        <f>_xlfn.XLOOKUP(A175,长度要求!A:A,长度要求!D:D)</f>
        <v>200</v>
      </c>
      <c r="F175" t="str">
        <f t="shared" si="8"/>
        <v>上海地矿物业管理有限公司隶属于上市市规划和自然资源局。上海地矿物业管理有限公司城市规划展示馆项目。上海城市规划展示馆市国内售价以展示城市规划与发展为主题专业性场馆。</v>
      </c>
    </row>
    <row r="176" spans="1:6">
      <c r="A176">
        <f t="shared" si="6"/>
        <v>1</v>
      </c>
      <c r="B176" t="s">
        <v>662</v>
      </c>
      <c r="C176" t="s">
        <v>663</v>
      </c>
      <c r="D176">
        <f t="shared" si="7"/>
        <v>150</v>
      </c>
      <c r="E176">
        <f>_xlfn.XLOOKUP(A176,长度要求!A:A,长度要求!D:D)</f>
        <v>200</v>
      </c>
      <c r="F176" t="str">
        <f t="shared" si="8"/>
        <v>本单位隶属于中国航天科技集团有限公司第八研究院，主要承担战术武器总体结构和总装综测、运载火箭箭体结构和大型环境试验等航天产品的研制生产任务。六十余年来先后研制生产了多个型号产品，为国防主战装备，参与研制了多个系列的运载火箭。作为中国航天和军工行业的骨干单位，为中国航天事业和装备现代化做出了杰出贡献。</v>
      </c>
    </row>
    <row r="177" spans="1:6">
      <c r="A177">
        <f t="shared" si="6"/>
        <v>7</v>
      </c>
      <c r="B177" t="s">
        <v>73</v>
      </c>
      <c r="C177" t="s">
        <v>74</v>
      </c>
      <c r="D177">
        <f t="shared" si="7"/>
        <v>82</v>
      </c>
      <c r="E177">
        <f>_xlfn.XLOOKUP(A177,长度要求!A:A,长度要求!D:D)</f>
        <v>200</v>
      </c>
      <c r="F177" t="str">
        <f t="shared" si="8"/>
        <v>上海地矿物业管理有限公司隶属于上市市规划和自然资源局。上海地矿物业管理有限公司城市规划展示馆项目。上海城市规划展示馆市国内售价以展示城市规划与发展为主题专业性场馆。</v>
      </c>
    </row>
    <row r="178" spans="1:6">
      <c r="A178">
        <f t="shared" si="6"/>
        <v>7</v>
      </c>
      <c r="B178" t="s">
        <v>647</v>
      </c>
      <c r="C178" t="s">
        <v>1354</v>
      </c>
      <c r="D178">
        <f t="shared" si="7"/>
        <v>208</v>
      </c>
      <c r="E178">
        <f>_xlfn.XLOOKUP(A178,长度要求!A:A,长度要求!D:D)</f>
        <v>200</v>
      </c>
      <c r="F178" t="str">
        <f t="shared" si="8"/>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179" spans="1:6">
      <c r="A179">
        <f t="shared" si="6"/>
        <v>7</v>
      </c>
      <c r="B179" t="s">
        <v>647</v>
      </c>
      <c r="C179" t="s">
        <v>1354</v>
      </c>
      <c r="D179">
        <f t="shared" si="7"/>
        <v>208</v>
      </c>
      <c r="E179">
        <f>_xlfn.XLOOKUP(A179,长度要求!A:A,长度要求!D:D)</f>
        <v>200</v>
      </c>
      <c r="F179" t="str">
        <f t="shared" si="8"/>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180" spans="1:6">
      <c r="A180">
        <f t="shared" si="6"/>
        <v>2</v>
      </c>
      <c r="B180" t="s">
        <v>674</v>
      </c>
      <c r="C180" t="s">
        <v>675</v>
      </c>
      <c r="D180">
        <f t="shared" si="7"/>
        <v>129</v>
      </c>
      <c r="E180">
        <f>_xlfn.XLOOKUP(A180,长度要求!A:A,长度要求!D:D)</f>
        <v>200</v>
      </c>
      <c r="F180" t="str">
        <f t="shared" si="8"/>
        <v>河马娱乐公司深耕直播（电商直播+娱乐直播）及短视频拍摄业务，目前服务400+位主播；在短视频拍摄及运营方面有丰富的经验及成熟的团队，公司为素人提供短视频制作策划拍摄，电商直播产品供应链提供，电商活动策划，娱乐直播运营，游戏直播策划运营，素人培养，艺人孵化等。</v>
      </c>
    </row>
    <row r="181" spans="1:6">
      <c r="A181">
        <f t="shared" si="6"/>
        <v>2</v>
      </c>
      <c r="B181" t="s">
        <v>674</v>
      </c>
      <c r="C181" t="s">
        <v>675</v>
      </c>
      <c r="D181">
        <f t="shared" si="7"/>
        <v>129</v>
      </c>
      <c r="E181">
        <f>_xlfn.XLOOKUP(A181,长度要求!A:A,长度要求!D:D)</f>
        <v>200</v>
      </c>
      <c r="F181" t="str">
        <f t="shared" si="8"/>
        <v>河马娱乐公司深耕直播（电商直播+娱乐直播）及短视频拍摄业务，目前服务400+位主播；在短视频拍摄及运营方面有丰富的经验及成熟的团队，公司为素人提供短视频制作策划拍摄，电商直播产品供应链提供，电商活动策划，娱乐直播运营，游戏直播策划运营，素人培养，艺人孵化等。</v>
      </c>
    </row>
    <row r="182" spans="1:6">
      <c r="A182">
        <f t="shared" si="6"/>
        <v>7</v>
      </c>
      <c r="B182" t="s">
        <v>647</v>
      </c>
      <c r="C182" t="s">
        <v>1354</v>
      </c>
      <c r="D182">
        <f t="shared" si="7"/>
        <v>208</v>
      </c>
      <c r="E182">
        <f>_xlfn.XLOOKUP(A182,长度要求!A:A,长度要求!D:D)</f>
        <v>200</v>
      </c>
      <c r="F182" t="str">
        <f t="shared" si="8"/>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183" spans="1:6">
      <c r="A183">
        <f t="shared" si="6"/>
        <v>5</v>
      </c>
      <c r="B183" t="s">
        <v>598</v>
      </c>
      <c r="C183" t="s">
        <v>1351</v>
      </c>
      <c r="D183">
        <f t="shared" si="7"/>
        <v>531</v>
      </c>
      <c r="E183">
        <f>_xlfn.XLOOKUP(A183,长度要求!A:A,长度要求!D:D)</f>
        <v>200</v>
      </c>
      <c r="F183" t="str">
        <f t="shared" si="8"/>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row>
    <row r="184" spans="1:6">
      <c r="A184">
        <f t="shared" si="6"/>
        <v>1</v>
      </c>
      <c r="B184" t="s">
        <v>683</v>
      </c>
      <c r="C184" t="s">
        <v>684</v>
      </c>
      <c r="D184">
        <f t="shared" si="7"/>
        <v>569</v>
      </c>
      <c r="E184">
        <f>_xlfn.XLOOKUP(A184,长度要求!A:A,长度要求!D:D)</f>
        <v>200</v>
      </c>
      <c r="F184" t="str">
        <f t="shared" si="8"/>
        <v>上海电气电站设备有限公司上海发电机厂（原上海汽轮发电机有限公司）隶属于上海电气集团股份有限公司电站集团，由上海电气和德国西门子公司共同投资组建。上海发电机厂于1995年12月正式成立，主要从事火电、核电、燃机领域的大型发电机成套产品的研发、设计和制造。企业融合了上海电机厂四十多年汽轮发电机设计制造经验与德国西门子、美国西屋公司的先进技术和管理理念，牢牢占据着汽轮发电机行业的领导地位。企业以成为世界……</v>
      </c>
    </row>
    <row r="185" spans="1:6">
      <c r="A185">
        <f t="shared" si="6"/>
        <v>2</v>
      </c>
      <c r="B185" t="s">
        <v>687</v>
      </c>
      <c r="C185" t="s">
        <v>1356</v>
      </c>
      <c r="D185">
        <f t="shared" si="7"/>
        <v>841</v>
      </c>
      <c r="E185">
        <f>_xlfn.XLOOKUP(A185,长度要求!A:A,长度要求!D:D)</f>
        <v>200</v>
      </c>
      <c r="F185" t="str">
        <f t="shared" si="8"/>
        <v>挪亚检测认证集团(NOA|挪亚)成立于1999年，是一家独立、公正及专业的综合性检验、检测、认证以及研究研发和品质保障服务机构，集团总部位于中国上海。NOA|挪亚是中国最早从事检验、检测及认证的第三方服务机构之一。
NOA|挪亚已获得中国国家认证认可监督管理委员会（CNCA）批准（CNCA-R-2002-51）和中国计量认证(CMA)的资质评定，并且已通过中国合格评定国家认可委员会（CNAS）及……</v>
      </c>
    </row>
    <row r="186" spans="1:6">
      <c r="A186">
        <f t="shared" si="6"/>
        <v>2</v>
      </c>
      <c r="B186" t="s">
        <v>691</v>
      </c>
      <c r="C186" t="s">
        <v>1357</v>
      </c>
      <c r="D186">
        <f t="shared" si="7"/>
        <v>356</v>
      </c>
      <c r="E186">
        <f>_xlfn.XLOOKUP(A186,长度要求!A:A,长度要求!D:D)</f>
        <v>200</v>
      </c>
      <c r="F186" t="str">
        <f t="shared" si="8"/>
        <v>上海南华兰陵电气有限公司 是上海电气旗下的中外合资企业，是 一家 专业生产输配电 用和新能源用高 、低压成套开关设备 及预装 式变电站 的高新技术企业。具有 建委建筑业二级总承包资质，具有电监委电力设施承装三级、承修二级、承试二级资质，具备管线工程水平定向钻施工三级能力 。
主导 产品已涵盖高压、低压、箱变、真空断路器 、电子元件五 大系列数十个品种 与西门子、 ABB 、施耐德等 国际知名公司 ……</v>
      </c>
    </row>
    <row r="187" spans="1:6">
      <c r="A187">
        <f t="shared" si="6"/>
        <v>2</v>
      </c>
      <c r="B187" t="s">
        <v>691</v>
      </c>
      <c r="C187" t="s">
        <v>1357</v>
      </c>
      <c r="D187">
        <f t="shared" si="7"/>
        <v>356</v>
      </c>
      <c r="E187">
        <f>_xlfn.XLOOKUP(A187,长度要求!A:A,长度要求!D:D)</f>
        <v>200</v>
      </c>
      <c r="F187" t="str">
        <f t="shared" si="8"/>
        <v>上海南华兰陵电气有限公司 是上海电气旗下的中外合资企业，是 一家 专业生产输配电 用和新能源用高 、低压成套开关设备 及预装 式变电站 的高新技术企业。具有 建委建筑业二级总承包资质，具有电监委电力设施承装三级、承修二级、承试二级资质，具备管线工程水平定向钻施工三级能力 。
主导 产品已涵盖高压、低压、箱变、真空断路器 、电子元件五 大系列数十个品种 与西门子、 ABB 、施耐德等 国际知名公司 ……</v>
      </c>
    </row>
    <row r="188" spans="1:6">
      <c r="A188">
        <f t="shared" si="6"/>
        <v>7</v>
      </c>
      <c r="B188" t="s">
        <v>647</v>
      </c>
      <c r="C188" t="s">
        <v>1354</v>
      </c>
      <c r="D188">
        <f t="shared" si="7"/>
        <v>208</v>
      </c>
      <c r="E188">
        <f>_xlfn.XLOOKUP(A188,长度要求!A:A,长度要求!D:D)</f>
        <v>200</v>
      </c>
      <c r="F188" t="str">
        <f t="shared" si="8"/>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189" spans="1:6">
      <c r="A189">
        <f t="shared" si="6"/>
        <v>3</v>
      </c>
      <c r="B189" t="s">
        <v>105</v>
      </c>
      <c r="C189" t="s">
        <v>106</v>
      </c>
      <c r="D189">
        <f t="shared" si="7"/>
        <v>244</v>
      </c>
      <c r="E189">
        <f>_xlfn.XLOOKUP(A189,长度要求!A:A,长度要求!D:D)</f>
        <v>200</v>
      </c>
      <c r="F189" t="str">
        <f t="shared" si="8"/>
        <v>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v>
      </c>
    </row>
    <row r="190" spans="1:6">
      <c r="A190">
        <f t="shared" si="6"/>
        <v>5</v>
      </c>
      <c r="B190" t="s">
        <v>323</v>
      </c>
      <c r="C190" t="s">
        <v>324</v>
      </c>
      <c r="D190">
        <f t="shared" si="7"/>
        <v>173</v>
      </c>
      <c r="E190">
        <f>_xlfn.XLOOKUP(A190,长度要求!A:A,长度要求!D:D)</f>
        <v>200</v>
      </c>
      <c r="F190" t="str">
        <f t="shared" si="8"/>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row>
    <row r="191" spans="1:6">
      <c r="A191">
        <f t="shared" si="6"/>
        <v>3</v>
      </c>
      <c r="B191" t="s">
        <v>105</v>
      </c>
      <c r="C191" t="s">
        <v>106</v>
      </c>
      <c r="D191">
        <f t="shared" si="7"/>
        <v>244</v>
      </c>
      <c r="E191">
        <f>_xlfn.XLOOKUP(A191,长度要求!A:A,长度要求!D:D)</f>
        <v>200</v>
      </c>
      <c r="F191" t="str">
        <f t="shared" si="8"/>
        <v>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v>
      </c>
    </row>
    <row r="192" spans="1:6">
      <c r="A192">
        <f t="shared" si="6"/>
        <v>3</v>
      </c>
      <c r="B192" t="s">
        <v>100</v>
      </c>
      <c r="C192" t="s">
        <v>101</v>
      </c>
      <c r="D192">
        <f t="shared" si="7"/>
        <v>226</v>
      </c>
      <c r="E192">
        <f>_xlfn.XLOOKUP(A192,长度要求!A:A,长度要求!D:D)</f>
        <v>200</v>
      </c>
      <c r="F192" t="str">
        <f t="shared" si="8"/>
        <v>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v>
      </c>
    </row>
    <row r="193" spans="1:6">
      <c r="A193">
        <f t="shared" si="6"/>
        <v>3</v>
      </c>
      <c r="B193" t="s">
        <v>100</v>
      </c>
      <c r="C193" t="s">
        <v>101</v>
      </c>
      <c r="D193">
        <f t="shared" si="7"/>
        <v>226</v>
      </c>
      <c r="E193">
        <f>_xlfn.XLOOKUP(A193,长度要求!A:A,长度要求!D:D)</f>
        <v>200</v>
      </c>
      <c r="F193" t="str">
        <f t="shared" si="8"/>
        <v>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v>
      </c>
    </row>
    <row r="194" spans="1:6">
      <c r="A194">
        <f t="shared" ref="A194:A257" si="9">COUNTIF(B:B,B194)</f>
        <v>5</v>
      </c>
      <c r="B194" t="s">
        <v>598</v>
      </c>
      <c r="C194" t="s">
        <v>1351</v>
      </c>
      <c r="D194">
        <f t="shared" ref="D194:D257" si="10">LEN(C194)</f>
        <v>531</v>
      </c>
      <c r="E194">
        <f>_xlfn.XLOOKUP(A194,长度要求!A:A,长度要求!D:D)</f>
        <v>200</v>
      </c>
      <c r="F194" t="str">
        <f t="shared" ref="F194:F257" si="11">IF(D194&lt;E194,C194,LEFT(C194,E194)&amp;"……")</f>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row>
    <row r="195" spans="1:6">
      <c r="A195">
        <f t="shared" si="9"/>
        <v>1</v>
      </c>
      <c r="B195" t="s">
        <v>713</v>
      </c>
      <c r="C195" t="s">
        <v>714</v>
      </c>
      <c r="D195">
        <f t="shared" si="10"/>
        <v>37</v>
      </c>
      <c r="E195">
        <f>_xlfn.XLOOKUP(A195,长度要求!A:A,长度要求!D:D)</f>
        <v>200</v>
      </c>
      <c r="F195" t="str">
        <f t="shared" si="11"/>
        <v>上海寻音信息科技有限公司致力于美术设计外包的服务，以及文创产品的设计研发。</v>
      </c>
    </row>
    <row r="196" spans="1:6">
      <c r="A196">
        <f t="shared" si="9"/>
        <v>8</v>
      </c>
      <c r="B196" t="s">
        <v>717</v>
      </c>
      <c r="C196" t="s">
        <v>1358</v>
      </c>
      <c r="D196">
        <f t="shared" si="10"/>
        <v>519</v>
      </c>
      <c r="E196">
        <f>_xlfn.XLOOKUP(A196,长度要求!A:A,长度要求!D:D)</f>
        <v>200</v>
      </c>
      <c r="F196" t="str">
        <f t="shared" si="11"/>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197" spans="1:6">
      <c r="A197">
        <f t="shared" si="9"/>
        <v>4</v>
      </c>
      <c r="B197" t="s">
        <v>720</v>
      </c>
      <c r="C197" t="s">
        <v>1359</v>
      </c>
      <c r="D197">
        <f t="shared" si="10"/>
        <v>1023</v>
      </c>
      <c r="E197">
        <f>_xlfn.XLOOKUP(A197,长度要求!A:A,长度要求!D:D)</f>
        <v>200</v>
      </c>
      <c r="F197" t="str">
        <f t="shared" si="11"/>
        <v>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v>
      </c>
    </row>
    <row r="198" spans="1:6">
      <c r="A198">
        <f t="shared" si="9"/>
        <v>4</v>
      </c>
      <c r="B198" t="s">
        <v>720</v>
      </c>
      <c r="C198" t="s">
        <v>1359</v>
      </c>
      <c r="D198">
        <f t="shared" si="10"/>
        <v>1023</v>
      </c>
      <c r="E198">
        <f>_xlfn.XLOOKUP(A198,长度要求!A:A,长度要求!D:D)</f>
        <v>200</v>
      </c>
      <c r="F198" t="str">
        <f t="shared" si="11"/>
        <v>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v>
      </c>
    </row>
    <row r="199" spans="1:6">
      <c r="A199">
        <f t="shared" si="9"/>
        <v>1</v>
      </c>
      <c r="B199" t="s">
        <v>727</v>
      </c>
      <c r="C199" t="s">
        <v>1360</v>
      </c>
      <c r="D199">
        <f t="shared" si="10"/>
        <v>166</v>
      </c>
      <c r="E199">
        <f>_xlfn.XLOOKUP(A199,长度要求!A:A,长度要求!D:D)</f>
        <v>200</v>
      </c>
      <c r="F199" t="str">
        <f t="shared" si="11"/>
        <v>日本丸菱集团发源于日本熊本县，专业从事烘焙行业70余年，在日本市场拥有极高的知名度，目前业务范围自东亚向东南亚延伸，覆盖中国，韩国，马来西亚，越南。
上海丸菱贸易有限公司是日本丸菱集团旗下的全资子公司，是一家集原料供应，机械销售与前后期技术支持于一体的食品综合企划公司。
公司最新办公地点：闵行区园美路109号（大零号湾健康云城）</v>
      </c>
    </row>
    <row r="200" spans="1:6">
      <c r="A200">
        <f t="shared" si="9"/>
        <v>4</v>
      </c>
      <c r="B200" t="s">
        <v>15</v>
      </c>
      <c r="C200" t="s">
        <v>1292</v>
      </c>
      <c r="D200">
        <f t="shared" si="10"/>
        <v>88</v>
      </c>
      <c r="E200">
        <f>_xlfn.XLOOKUP(A200,长度要求!A:A,长度要求!D:D)</f>
        <v>200</v>
      </c>
      <c r="F200" t="str">
        <f t="shared" si="11"/>
        <v>上海光通信有限公司（英文名 Shanghai GTX Semiconductor Co., Ltd，下称“GTX”），成立于1988年，于2022年初转型进入集成电路制造领域。</v>
      </c>
    </row>
    <row r="201" spans="1:6">
      <c r="A201">
        <f t="shared" si="9"/>
        <v>6</v>
      </c>
      <c r="B201" t="s">
        <v>455</v>
      </c>
      <c r="C201" t="s">
        <v>1335</v>
      </c>
      <c r="D201">
        <f t="shared" si="10"/>
        <v>381</v>
      </c>
      <c r="E201">
        <f>_xlfn.XLOOKUP(A201,长度要求!A:A,长度要求!D:D)</f>
        <v>200</v>
      </c>
      <c r="F201" t="str">
        <f t="shared" si="11"/>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202" spans="1:6">
      <c r="A202">
        <f t="shared" si="9"/>
        <v>8</v>
      </c>
      <c r="B202" t="s">
        <v>717</v>
      </c>
      <c r="C202" t="s">
        <v>1358</v>
      </c>
      <c r="D202">
        <f t="shared" si="10"/>
        <v>519</v>
      </c>
      <c r="E202">
        <f>_xlfn.XLOOKUP(A202,长度要求!A:A,长度要求!D:D)</f>
        <v>200</v>
      </c>
      <c r="F202" t="str">
        <f t="shared" si="11"/>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203" spans="1:6">
      <c r="A203">
        <f t="shared" si="9"/>
        <v>5</v>
      </c>
      <c r="B203" t="s">
        <v>63</v>
      </c>
      <c r="C203" t="s">
        <v>1297</v>
      </c>
      <c r="D203">
        <f t="shared" si="10"/>
        <v>444</v>
      </c>
      <c r="E203">
        <f>_xlfn.XLOOKUP(A203,长度要求!A:A,长度要求!D:D)</f>
        <v>200</v>
      </c>
      <c r="F203" t="str">
        <f t="shared" si="11"/>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row>
    <row r="204" spans="1:6">
      <c r="A204">
        <f t="shared" si="9"/>
        <v>3</v>
      </c>
      <c r="B204" t="s">
        <v>742</v>
      </c>
      <c r="C204" t="s">
        <v>1361</v>
      </c>
      <c r="D204">
        <f t="shared" si="10"/>
        <v>1872</v>
      </c>
      <c r="E204">
        <f>_xlfn.XLOOKUP(A204,长度要求!A:A,长度要求!D:D)</f>
        <v>200</v>
      </c>
      <c r="F204" t="str">
        <f t="shared" si="11"/>
        <v>上海三枪（集团）有限公司简介
三枪品牌历史介绍：
上海三枪（集团）有限公司是东方国际旗下龙头股份下属的一家以发扬民族品牌“三枪”为核心优势的“老字号”品牌企业，公司集面料研发、针织生产、染整加工、面料测试能力、品牌销售于一体。
上海三枪（集团）有限公司的母体企业是上海针织九厂，上海针织九厂的前身为莹荫针织厂，创建于1928年，董事长王衍庆、经理干庭辉。
1936年，干庭辉在射击比赛中第三次夺冠，1……</v>
      </c>
    </row>
    <row r="205" spans="1:6">
      <c r="A205">
        <f t="shared" si="9"/>
        <v>1</v>
      </c>
      <c r="B205" t="s">
        <v>745</v>
      </c>
      <c r="C205" t="s">
        <v>746</v>
      </c>
      <c r="D205">
        <f t="shared" si="10"/>
        <v>305</v>
      </c>
      <c r="E205">
        <f>_xlfn.XLOOKUP(A205,长度要求!A:A,长度要求!D:D)</f>
        <v>200</v>
      </c>
      <c r="F205" t="str">
        <f t="shared" si="11"/>
        <v>上海福旦文化传媒有限公司成立于2021年11月04日，经营范围包括一般项目：组织文化艺术交流活动；摄影扩印服务；摄像及视频制作服务；文化用品设备出租；电影摄制服务；广告设计、代理；广告发布；广告制作；品牌管理；文具用品批发；数字内容制作服务（不含出版发行）；会议及展览服务；信息咨询服务（不含许可类信息咨询服务）；企业形象策划；市场营销策划；翻译服务；图文设计制作；平面设计；技术服务、技术开发、技术……</v>
      </c>
    </row>
    <row r="206" spans="1:6">
      <c r="A206">
        <f t="shared" si="9"/>
        <v>6</v>
      </c>
      <c r="B206" t="s">
        <v>749</v>
      </c>
      <c r="C206" t="s">
        <v>750</v>
      </c>
      <c r="D206">
        <f t="shared" si="10"/>
        <v>299</v>
      </c>
      <c r="E206">
        <f>_xlfn.XLOOKUP(A206,长度要求!A:A,长度要求!D:D)</f>
        <v>200</v>
      </c>
      <c r="F206" t="str">
        <f t="shared" si="11"/>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07" spans="1:6">
      <c r="A207">
        <f t="shared" si="9"/>
        <v>6</v>
      </c>
      <c r="B207" t="s">
        <v>749</v>
      </c>
      <c r="C207" t="s">
        <v>750</v>
      </c>
      <c r="D207">
        <f t="shared" si="10"/>
        <v>299</v>
      </c>
      <c r="E207">
        <f>_xlfn.XLOOKUP(A207,长度要求!A:A,长度要求!D:D)</f>
        <v>200</v>
      </c>
      <c r="F207" t="str">
        <f t="shared" si="11"/>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08" spans="1:6">
      <c r="A208">
        <f t="shared" si="9"/>
        <v>6</v>
      </c>
      <c r="B208" t="s">
        <v>749</v>
      </c>
      <c r="C208" t="s">
        <v>750</v>
      </c>
      <c r="D208">
        <f t="shared" si="10"/>
        <v>299</v>
      </c>
      <c r="E208">
        <f>_xlfn.XLOOKUP(A208,长度要求!A:A,长度要求!D:D)</f>
        <v>200</v>
      </c>
      <c r="F208" t="str">
        <f t="shared" si="11"/>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09" spans="1:6">
      <c r="A209">
        <f t="shared" si="9"/>
        <v>6</v>
      </c>
      <c r="B209" t="s">
        <v>749</v>
      </c>
      <c r="C209" t="s">
        <v>750</v>
      </c>
      <c r="D209">
        <f t="shared" si="10"/>
        <v>299</v>
      </c>
      <c r="E209">
        <f>_xlfn.XLOOKUP(A209,长度要求!A:A,长度要求!D:D)</f>
        <v>200</v>
      </c>
      <c r="F209" t="str">
        <f t="shared" si="11"/>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10" spans="1:6">
      <c r="A210">
        <f t="shared" si="9"/>
        <v>8</v>
      </c>
      <c r="B210" t="s">
        <v>759</v>
      </c>
      <c r="C210" t="s">
        <v>1362</v>
      </c>
      <c r="D210">
        <f t="shared" si="10"/>
        <v>746</v>
      </c>
      <c r="E210">
        <f>_xlfn.XLOOKUP(A210,长度要求!A:A,长度要求!D:D)</f>
        <v>200</v>
      </c>
      <c r="F210"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11" spans="1:6">
      <c r="A211">
        <f t="shared" si="9"/>
        <v>8</v>
      </c>
      <c r="B211" t="s">
        <v>759</v>
      </c>
      <c r="C211" t="s">
        <v>1362</v>
      </c>
      <c r="D211">
        <f t="shared" si="10"/>
        <v>746</v>
      </c>
      <c r="E211">
        <f>_xlfn.XLOOKUP(A211,长度要求!A:A,长度要求!D:D)</f>
        <v>200</v>
      </c>
      <c r="F211"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12" spans="1:6">
      <c r="A212">
        <f t="shared" si="9"/>
        <v>6</v>
      </c>
      <c r="B212" t="s">
        <v>78</v>
      </c>
      <c r="C212" t="s">
        <v>1298</v>
      </c>
      <c r="D212">
        <f t="shared" si="10"/>
        <v>353</v>
      </c>
      <c r="E212">
        <f>_xlfn.XLOOKUP(A212,长度要求!A:A,长度要求!D:D)</f>
        <v>200</v>
      </c>
      <c r="F212" t="str">
        <f t="shared" si="11"/>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213" spans="1:6">
      <c r="A213">
        <f t="shared" si="9"/>
        <v>8</v>
      </c>
      <c r="B213" t="s">
        <v>450</v>
      </c>
      <c r="C213" t="s">
        <v>1334</v>
      </c>
      <c r="D213">
        <f t="shared" si="10"/>
        <v>1368</v>
      </c>
      <c r="E213">
        <f>_xlfn.XLOOKUP(A213,长度要求!A:A,长度要求!D:D)</f>
        <v>200</v>
      </c>
      <c r="F213" t="str">
        <f t="shared" si="11"/>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214" spans="1:6">
      <c r="A214">
        <f t="shared" si="9"/>
        <v>2</v>
      </c>
      <c r="B214" t="s">
        <v>773</v>
      </c>
      <c r="C214" t="s">
        <v>1363</v>
      </c>
      <c r="D214">
        <f t="shared" si="10"/>
        <v>465</v>
      </c>
      <c r="E214">
        <f>_xlfn.XLOOKUP(A214,长度要求!A:A,长度要求!D:D)</f>
        <v>200</v>
      </c>
      <c r="F214" t="str">
        <f t="shared" si="11"/>
        <v>       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
    森马服饰致力于打造全球多品牌时尚产业公司，旗下有成人品牌……</v>
      </c>
    </row>
    <row r="215" spans="1:6">
      <c r="A215">
        <f t="shared" si="9"/>
        <v>1</v>
      </c>
      <c r="B215" t="s">
        <v>777</v>
      </c>
      <c r="C215" t="s">
        <v>1364</v>
      </c>
      <c r="D215">
        <f t="shared" si="10"/>
        <v>312</v>
      </c>
      <c r="E215">
        <f>_xlfn.XLOOKUP(A215,长度要求!A:A,长度要求!D:D)</f>
        <v>200</v>
      </c>
      <c r="F215" t="str">
        <f t="shared" si="11"/>
        <v>上海飞帆广告有限公司成立于1992年,企业性质为混合所有制，是中国一级广告企业，连续20年被评为上海市守合同重信用企业（AAA级）。公司为中国广告协会理事单位、中国广告协会户外分会副会长单位、上海市广告协会副会长单位；曾荣获中国十大领军媒体公司、中国广告协会户外广告分会十强领军企业、中国市区大牌媒体公司20强、中国户外广告企业百强榜公司、中国户外广告四十年优秀企业。
    企业的业务板块包括：户……</v>
      </c>
    </row>
    <row r="216" spans="1:6">
      <c r="A216">
        <f t="shared" si="9"/>
        <v>3</v>
      </c>
      <c r="B216" t="s">
        <v>742</v>
      </c>
      <c r="C216" t="s">
        <v>1361</v>
      </c>
      <c r="D216">
        <f t="shared" si="10"/>
        <v>1872</v>
      </c>
      <c r="E216">
        <f>_xlfn.XLOOKUP(A216,长度要求!A:A,长度要求!D:D)</f>
        <v>200</v>
      </c>
      <c r="F216" t="str">
        <f t="shared" si="11"/>
        <v>上海三枪（集团）有限公司简介
三枪品牌历史介绍：
上海三枪（集团）有限公司是东方国际旗下龙头股份下属的一家以发扬民族品牌“三枪”为核心优势的“老字号”品牌企业，公司集面料研发、针织生产、染整加工、面料测试能力、品牌销售于一体。
上海三枪（集团）有限公司的母体企业是上海针织九厂，上海针织九厂的前身为莹荫针织厂，创建于1928年，董事长王衍庆、经理干庭辉。
1936年，干庭辉在射击比赛中第三次夺冠，1……</v>
      </c>
    </row>
    <row r="217" spans="1:6">
      <c r="A217">
        <f t="shared" si="9"/>
        <v>8</v>
      </c>
      <c r="B217" t="s">
        <v>759</v>
      </c>
      <c r="C217" t="s">
        <v>1362</v>
      </c>
      <c r="D217">
        <f t="shared" si="10"/>
        <v>746</v>
      </c>
      <c r="E217">
        <f>_xlfn.XLOOKUP(A217,长度要求!A:A,长度要求!D:D)</f>
        <v>200</v>
      </c>
      <c r="F217"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18" spans="1:6">
      <c r="A218">
        <f t="shared" si="9"/>
        <v>8</v>
      </c>
      <c r="B218" t="s">
        <v>759</v>
      </c>
      <c r="C218" t="s">
        <v>1362</v>
      </c>
      <c r="D218">
        <f t="shared" si="10"/>
        <v>746</v>
      </c>
      <c r="E218">
        <f>_xlfn.XLOOKUP(A218,长度要求!A:A,长度要求!D:D)</f>
        <v>200</v>
      </c>
      <c r="F218"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19" spans="1:6">
      <c r="A219">
        <f t="shared" si="9"/>
        <v>2</v>
      </c>
      <c r="B219" t="s">
        <v>773</v>
      </c>
      <c r="C219" t="s">
        <v>1363</v>
      </c>
      <c r="D219">
        <f t="shared" si="10"/>
        <v>465</v>
      </c>
      <c r="E219">
        <f>_xlfn.XLOOKUP(A219,长度要求!A:A,长度要求!D:D)</f>
        <v>200</v>
      </c>
      <c r="F219" t="str">
        <f t="shared" si="11"/>
        <v>       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
    森马服饰致力于打造全球多品牌时尚产业公司，旗下有成人品牌……</v>
      </c>
    </row>
    <row r="220" spans="1:6">
      <c r="A220">
        <f t="shared" si="9"/>
        <v>3</v>
      </c>
      <c r="B220" t="s">
        <v>742</v>
      </c>
      <c r="C220" t="s">
        <v>1361</v>
      </c>
      <c r="D220">
        <f t="shared" si="10"/>
        <v>1872</v>
      </c>
      <c r="E220">
        <f>_xlfn.XLOOKUP(A220,长度要求!A:A,长度要求!D:D)</f>
        <v>200</v>
      </c>
      <c r="F220" t="str">
        <f t="shared" si="11"/>
        <v>上海三枪（集团）有限公司简介
三枪品牌历史介绍：
上海三枪（集团）有限公司是东方国际旗下龙头股份下属的一家以发扬民族品牌“三枪”为核心优势的“老字号”品牌企业，公司集面料研发、针织生产、染整加工、面料测试能力、品牌销售于一体。
上海三枪（集团）有限公司的母体企业是上海针织九厂，上海针织九厂的前身为莹荫针织厂，创建于1928年，董事长王衍庆、经理干庭辉。
1936年，干庭辉在射击比赛中第三次夺冠，1……</v>
      </c>
    </row>
    <row r="221" spans="1:6">
      <c r="A221">
        <f t="shared" si="9"/>
        <v>8</v>
      </c>
      <c r="B221" t="s">
        <v>795</v>
      </c>
      <c r="C221" t="s">
        <v>1365</v>
      </c>
      <c r="D221">
        <f t="shared" si="10"/>
        <v>271</v>
      </c>
      <c r="E221">
        <f>_xlfn.XLOOKUP(A221,长度要求!A:A,长度要求!D:D)</f>
        <v>200</v>
      </c>
      <c r="F221" t="str">
        <f t="shared" si="11"/>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222" spans="1:6">
      <c r="A222">
        <f t="shared" si="9"/>
        <v>8</v>
      </c>
      <c r="B222" t="s">
        <v>717</v>
      </c>
      <c r="C222" t="s">
        <v>1358</v>
      </c>
      <c r="D222">
        <f t="shared" si="10"/>
        <v>519</v>
      </c>
      <c r="E222">
        <f>_xlfn.XLOOKUP(A222,长度要求!A:A,长度要求!D:D)</f>
        <v>200</v>
      </c>
      <c r="F222" t="str">
        <f t="shared" si="11"/>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223" spans="1:6">
      <c r="A223">
        <f t="shared" si="9"/>
        <v>6</v>
      </c>
      <c r="B223" t="s">
        <v>455</v>
      </c>
      <c r="C223" t="s">
        <v>1335</v>
      </c>
      <c r="D223">
        <f t="shared" si="10"/>
        <v>381</v>
      </c>
      <c r="E223">
        <f>_xlfn.XLOOKUP(A223,长度要求!A:A,长度要求!D:D)</f>
        <v>200</v>
      </c>
      <c r="F223" t="str">
        <f t="shared" si="11"/>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224" spans="1:6">
      <c r="A224">
        <f t="shared" si="9"/>
        <v>1</v>
      </c>
      <c r="B224" t="s">
        <v>803</v>
      </c>
      <c r="C224" t="s">
        <v>1366</v>
      </c>
      <c r="D224">
        <f t="shared" si="10"/>
        <v>395</v>
      </c>
      <c r="E224">
        <f>_xlfn.XLOOKUP(A224,长度要求!A:A,长度要求!D:D)</f>
        <v>200</v>
      </c>
      <c r="F224" t="str">
        <f t="shared" si="11"/>
        <v>上海麦牙科技有限公司成立于2021年10月09日，注册地位于上海市闵行区银都路4277号3幢1层、2层、3层，法定代表人为郑燕芳。经营范围包括一般项目：技术服务、技术开发、技术咨询、技术交流、技术转让、技术推广；智能机器人的研发；工业机器人制造；工业自动控制系统装置制造；数控机床制造；数控机床销售；智能基础制造装备制造；物料搬运装备制造；智能仓储装备销售；电子专用设备制造；第一类医疗器械生产；专业……</v>
      </c>
    </row>
    <row r="225" spans="1:6">
      <c r="A225">
        <f t="shared" si="9"/>
        <v>6</v>
      </c>
      <c r="B225" t="s">
        <v>318</v>
      </c>
      <c r="C225" t="s">
        <v>1320</v>
      </c>
      <c r="D225">
        <f t="shared" si="10"/>
        <v>248</v>
      </c>
      <c r="E225">
        <f>_xlfn.XLOOKUP(A225,长度要求!A:A,长度要求!D:D)</f>
        <v>200</v>
      </c>
      <c r="F225" t="str">
        <f t="shared" si="11"/>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226" spans="1:6">
      <c r="A226">
        <f t="shared" si="9"/>
        <v>8</v>
      </c>
      <c r="B226" t="s">
        <v>759</v>
      </c>
      <c r="C226" t="s">
        <v>1362</v>
      </c>
      <c r="D226">
        <f t="shared" si="10"/>
        <v>746</v>
      </c>
      <c r="E226">
        <f>_xlfn.XLOOKUP(A226,长度要求!A:A,长度要求!D:D)</f>
        <v>200</v>
      </c>
      <c r="F226"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27" spans="1:6">
      <c r="A227">
        <f t="shared" si="9"/>
        <v>3</v>
      </c>
      <c r="B227" t="s">
        <v>811</v>
      </c>
      <c r="C227" t="s">
        <v>1367</v>
      </c>
      <c r="D227">
        <f t="shared" si="10"/>
        <v>252</v>
      </c>
      <c r="E227">
        <f>_xlfn.XLOOKUP(A227,长度要求!A:A,长度要求!D:D)</f>
        <v>200</v>
      </c>
      <c r="F227" t="str">
        <f t="shared" si="11"/>
        <v>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
米锐可的英文Miracle意为“奇迹”，希望每一个员工都可以在人性化的环境里，创造出属于自己及公司的奇迹。公司始终坚守“思考、利人”的价值观……</v>
      </c>
    </row>
    <row r="228" spans="1:6">
      <c r="A228">
        <f t="shared" si="9"/>
        <v>2</v>
      </c>
      <c r="B228" t="s">
        <v>656</v>
      </c>
      <c r="C228" t="s">
        <v>1355</v>
      </c>
      <c r="D228">
        <f t="shared" si="10"/>
        <v>262</v>
      </c>
      <c r="E228">
        <f>_xlfn.XLOOKUP(A228,长度要求!A:A,长度要求!D:D)</f>
        <v>200</v>
      </c>
      <c r="F228" t="str">
        <f t="shared" si="11"/>
        <v>上海新进芯微电子有限公司隶属于美国Diodes 公司，成立于2007年年底，坐落于上海紫竹科学园区，公司现有全职员工600余人，其中从事设计和工程的技术团队为300余人。
公司拥有6英寸以及8英寸晶圆制造净化厂房，可以为系统客户提供采用先进的模拟IC设计和研发、以及利用高阶的生产工艺（如Bipolar、CMOS、BiCDMOS 、TVS和SKY等）所制造的多元化高效能半导体产品，并且通过了ISO9……</v>
      </c>
    </row>
    <row r="229" spans="1:6">
      <c r="A229">
        <f t="shared" si="9"/>
        <v>4</v>
      </c>
      <c r="B229" t="s">
        <v>720</v>
      </c>
      <c r="C229" t="s">
        <v>1359</v>
      </c>
      <c r="D229">
        <f t="shared" si="10"/>
        <v>1023</v>
      </c>
      <c r="E229">
        <f>_xlfn.XLOOKUP(A229,长度要求!A:A,长度要求!D:D)</f>
        <v>200</v>
      </c>
      <c r="F229" t="str">
        <f t="shared" si="11"/>
        <v>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v>
      </c>
    </row>
    <row r="230" spans="1:6">
      <c r="A230">
        <f t="shared" si="9"/>
        <v>5</v>
      </c>
      <c r="B230" t="s">
        <v>63</v>
      </c>
      <c r="C230" t="s">
        <v>1297</v>
      </c>
      <c r="D230">
        <f t="shared" si="10"/>
        <v>444</v>
      </c>
      <c r="E230">
        <f>_xlfn.XLOOKUP(A230,长度要求!A:A,长度要求!D:D)</f>
        <v>200</v>
      </c>
      <c r="F230" t="str">
        <f t="shared" si="11"/>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row>
    <row r="231" spans="1:6">
      <c r="A231">
        <f t="shared" si="9"/>
        <v>1</v>
      </c>
      <c r="B231" t="s">
        <v>822</v>
      </c>
      <c r="C231" t="s">
        <v>1368</v>
      </c>
      <c r="D231">
        <f t="shared" si="10"/>
        <v>127</v>
      </c>
      <c r="E231">
        <f>_xlfn.XLOOKUP(A231,长度要求!A:A,长度要求!D:D)</f>
        <v>200</v>
      </c>
      <c r="F231" t="str">
        <f t="shared" si="11"/>
        <v>上汽大众汽车有限公司 （简称“上汽大众”）是一家中德合资企业 ，由上汽集团和大众汽车集团合资经营 。公司于1984年10月签约奠基，是国内历史悠久的汽车合资企业之一。公司总部位于上海安亭，并先后在南京 、仪征、乌鲁木齐、宁波 、长沙等地建立了生产基地。 </v>
      </c>
    </row>
    <row r="232" spans="1:6">
      <c r="A232">
        <f t="shared" si="9"/>
        <v>8</v>
      </c>
      <c r="B232" t="s">
        <v>759</v>
      </c>
      <c r="C232" t="s">
        <v>1362</v>
      </c>
      <c r="D232">
        <f t="shared" si="10"/>
        <v>746</v>
      </c>
      <c r="E232">
        <f>_xlfn.XLOOKUP(A232,长度要求!A:A,长度要求!D:D)</f>
        <v>200</v>
      </c>
      <c r="F232"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33" spans="1:6">
      <c r="A233">
        <f t="shared" si="9"/>
        <v>8</v>
      </c>
      <c r="B233" t="s">
        <v>759</v>
      </c>
      <c r="C233" t="s">
        <v>1362</v>
      </c>
      <c r="D233">
        <f t="shared" si="10"/>
        <v>746</v>
      </c>
      <c r="E233">
        <f>_xlfn.XLOOKUP(A233,长度要求!A:A,长度要求!D:D)</f>
        <v>200</v>
      </c>
      <c r="F233"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34" spans="1:6">
      <c r="A234">
        <f t="shared" si="9"/>
        <v>8</v>
      </c>
      <c r="B234" t="s">
        <v>759</v>
      </c>
      <c r="C234" t="s">
        <v>1362</v>
      </c>
      <c r="D234">
        <f t="shared" si="10"/>
        <v>746</v>
      </c>
      <c r="E234">
        <f>_xlfn.XLOOKUP(A234,长度要求!A:A,长度要求!D:D)</f>
        <v>200</v>
      </c>
      <c r="F234" t="str">
        <f t="shared" si="11"/>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row>
    <row r="235" spans="1:6">
      <c r="A235">
        <f t="shared" si="9"/>
        <v>30</v>
      </c>
      <c r="B235" t="s">
        <v>833</v>
      </c>
      <c r="C235" t="s">
        <v>1369</v>
      </c>
      <c r="D235">
        <f t="shared" si="10"/>
        <v>454</v>
      </c>
      <c r="E235">
        <f>_xlfn.XLOOKUP(A235,长度要求!A:A,长度要求!D:D)</f>
        <v>200</v>
      </c>
      <c r="F235"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36" spans="1:6">
      <c r="A236">
        <f t="shared" si="9"/>
        <v>30</v>
      </c>
      <c r="B236" t="s">
        <v>833</v>
      </c>
      <c r="C236" t="s">
        <v>1369</v>
      </c>
      <c r="D236">
        <f t="shared" si="10"/>
        <v>454</v>
      </c>
      <c r="E236">
        <f>_xlfn.XLOOKUP(A236,长度要求!A:A,长度要求!D:D)</f>
        <v>200</v>
      </c>
      <c r="F236"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37" spans="1:6">
      <c r="A237">
        <f t="shared" si="9"/>
        <v>30</v>
      </c>
      <c r="B237" t="s">
        <v>833</v>
      </c>
      <c r="C237" t="s">
        <v>1369</v>
      </c>
      <c r="D237">
        <f t="shared" si="10"/>
        <v>454</v>
      </c>
      <c r="E237">
        <f>_xlfn.XLOOKUP(A237,长度要求!A:A,长度要求!D:D)</f>
        <v>200</v>
      </c>
      <c r="F237"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38" spans="1:6">
      <c r="A238">
        <f t="shared" si="9"/>
        <v>30</v>
      </c>
      <c r="B238" t="s">
        <v>833</v>
      </c>
      <c r="C238" t="s">
        <v>1369</v>
      </c>
      <c r="D238">
        <f t="shared" si="10"/>
        <v>454</v>
      </c>
      <c r="E238">
        <f>_xlfn.XLOOKUP(A238,长度要求!A:A,长度要求!D:D)</f>
        <v>200</v>
      </c>
      <c r="F238"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39" spans="1:6">
      <c r="A239">
        <f t="shared" si="9"/>
        <v>30</v>
      </c>
      <c r="B239" t="s">
        <v>833</v>
      </c>
      <c r="C239" t="s">
        <v>1369</v>
      </c>
      <c r="D239">
        <f t="shared" si="10"/>
        <v>454</v>
      </c>
      <c r="E239">
        <f>_xlfn.XLOOKUP(A239,长度要求!A:A,长度要求!D:D)</f>
        <v>200</v>
      </c>
      <c r="F239"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0" spans="1:6">
      <c r="A240">
        <f t="shared" si="9"/>
        <v>30</v>
      </c>
      <c r="B240" t="s">
        <v>833</v>
      </c>
      <c r="C240" t="s">
        <v>1369</v>
      </c>
      <c r="D240">
        <f t="shared" si="10"/>
        <v>454</v>
      </c>
      <c r="E240">
        <f>_xlfn.XLOOKUP(A240,长度要求!A:A,长度要求!D:D)</f>
        <v>200</v>
      </c>
      <c r="F240"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1" spans="1:6">
      <c r="A241">
        <f t="shared" si="9"/>
        <v>30</v>
      </c>
      <c r="B241" t="s">
        <v>833</v>
      </c>
      <c r="C241" t="s">
        <v>1369</v>
      </c>
      <c r="D241">
        <f t="shared" si="10"/>
        <v>454</v>
      </c>
      <c r="E241">
        <f>_xlfn.XLOOKUP(A241,长度要求!A:A,长度要求!D:D)</f>
        <v>200</v>
      </c>
      <c r="F241"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2" spans="1:6">
      <c r="A242">
        <f t="shared" si="9"/>
        <v>30</v>
      </c>
      <c r="B242" t="s">
        <v>833</v>
      </c>
      <c r="C242" t="s">
        <v>1369</v>
      </c>
      <c r="D242">
        <f t="shared" si="10"/>
        <v>454</v>
      </c>
      <c r="E242">
        <f>_xlfn.XLOOKUP(A242,长度要求!A:A,长度要求!D:D)</f>
        <v>200</v>
      </c>
      <c r="F242"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3" spans="1:6">
      <c r="A243">
        <f t="shared" si="9"/>
        <v>30</v>
      </c>
      <c r="B243" t="s">
        <v>833</v>
      </c>
      <c r="C243" t="s">
        <v>1369</v>
      </c>
      <c r="D243">
        <f t="shared" si="10"/>
        <v>454</v>
      </c>
      <c r="E243">
        <f>_xlfn.XLOOKUP(A243,长度要求!A:A,长度要求!D:D)</f>
        <v>200</v>
      </c>
      <c r="F243"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4" spans="1:6">
      <c r="A244">
        <f t="shared" si="9"/>
        <v>30</v>
      </c>
      <c r="B244" t="s">
        <v>833</v>
      </c>
      <c r="C244" t="s">
        <v>1369</v>
      </c>
      <c r="D244">
        <f t="shared" si="10"/>
        <v>454</v>
      </c>
      <c r="E244">
        <f>_xlfn.XLOOKUP(A244,长度要求!A:A,长度要求!D:D)</f>
        <v>200</v>
      </c>
      <c r="F244"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5" spans="1:6">
      <c r="A245">
        <f t="shared" si="9"/>
        <v>30</v>
      </c>
      <c r="B245" t="s">
        <v>833</v>
      </c>
      <c r="C245" t="s">
        <v>1369</v>
      </c>
      <c r="D245">
        <f t="shared" si="10"/>
        <v>454</v>
      </c>
      <c r="E245">
        <f>_xlfn.XLOOKUP(A245,长度要求!A:A,长度要求!D:D)</f>
        <v>200</v>
      </c>
      <c r="F245"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6" spans="1:6">
      <c r="A246">
        <f t="shared" si="9"/>
        <v>30</v>
      </c>
      <c r="B246" t="s">
        <v>833</v>
      </c>
      <c r="C246" t="s">
        <v>1369</v>
      </c>
      <c r="D246">
        <f t="shared" si="10"/>
        <v>454</v>
      </c>
      <c r="E246">
        <f>_xlfn.XLOOKUP(A246,长度要求!A:A,长度要求!D:D)</f>
        <v>200</v>
      </c>
      <c r="F246"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7" spans="1:6">
      <c r="A247">
        <f t="shared" si="9"/>
        <v>30</v>
      </c>
      <c r="B247" t="s">
        <v>833</v>
      </c>
      <c r="C247" t="s">
        <v>1369</v>
      </c>
      <c r="D247">
        <f t="shared" si="10"/>
        <v>454</v>
      </c>
      <c r="E247">
        <f>_xlfn.XLOOKUP(A247,长度要求!A:A,长度要求!D:D)</f>
        <v>200</v>
      </c>
      <c r="F247"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8" spans="1:6">
      <c r="A248">
        <f t="shared" si="9"/>
        <v>30</v>
      </c>
      <c r="B248" t="s">
        <v>833</v>
      </c>
      <c r="C248" t="s">
        <v>1369</v>
      </c>
      <c r="D248">
        <f t="shared" si="10"/>
        <v>454</v>
      </c>
      <c r="E248">
        <f>_xlfn.XLOOKUP(A248,长度要求!A:A,长度要求!D:D)</f>
        <v>200</v>
      </c>
      <c r="F248"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49" spans="1:6">
      <c r="A249">
        <f t="shared" si="9"/>
        <v>30</v>
      </c>
      <c r="B249" t="s">
        <v>833</v>
      </c>
      <c r="C249" t="s">
        <v>1369</v>
      </c>
      <c r="D249">
        <f t="shared" si="10"/>
        <v>454</v>
      </c>
      <c r="E249">
        <f>_xlfn.XLOOKUP(A249,长度要求!A:A,长度要求!D:D)</f>
        <v>200</v>
      </c>
      <c r="F249"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0" spans="1:6">
      <c r="A250">
        <f t="shared" si="9"/>
        <v>30</v>
      </c>
      <c r="B250" t="s">
        <v>833</v>
      </c>
      <c r="C250" t="s">
        <v>1369</v>
      </c>
      <c r="D250">
        <f t="shared" si="10"/>
        <v>454</v>
      </c>
      <c r="E250">
        <f>_xlfn.XLOOKUP(A250,长度要求!A:A,长度要求!D:D)</f>
        <v>200</v>
      </c>
      <c r="F250"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1" spans="1:6">
      <c r="A251">
        <f t="shared" si="9"/>
        <v>30</v>
      </c>
      <c r="B251" t="s">
        <v>833</v>
      </c>
      <c r="C251" t="s">
        <v>1369</v>
      </c>
      <c r="D251">
        <f t="shared" si="10"/>
        <v>454</v>
      </c>
      <c r="E251">
        <f>_xlfn.XLOOKUP(A251,长度要求!A:A,长度要求!D:D)</f>
        <v>200</v>
      </c>
      <c r="F251"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2" spans="1:6">
      <c r="A252">
        <f t="shared" si="9"/>
        <v>30</v>
      </c>
      <c r="B252" t="s">
        <v>833</v>
      </c>
      <c r="C252" t="s">
        <v>1369</v>
      </c>
      <c r="D252">
        <f t="shared" si="10"/>
        <v>454</v>
      </c>
      <c r="E252">
        <f>_xlfn.XLOOKUP(A252,长度要求!A:A,长度要求!D:D)</f>
        <v>200</v>
      </c>
      <c r="F252"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3" spans="1:6">
      <c r="A253">
        <f t="shared" si="9"/>
        <v>30</v>
      </c>
      <c r="B253" t="s">
        <v>833</v>
      </c>
      <c r="C253" t="s">
        <v>1369</v>
      </c>
      <c r="D253">
        <f t="shared" si="10"/>
        <v>454</v>
      </c>
      <c r="E253">
        <f>_xlfn.XLOOKUP(A253,长度要求!A:A,长度要求!D:D)</f>
        <v>200</v>
      </c>
      <c r="F253"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4" spans="1:6">
      <c r="A254">
        <f t="shared" si="9"/>
        <v>30</v>
      </c>
      <c r="B254" t="s">
        <v>833</v>
      </c>
      <c r="C254" t="s">
        <v>1369</v>
      </c>
      <c r="D254">
        <f t="shared" si="10"/>
        <v>454</v>
      </c>
      <c r="E254">
        <f>_xlfn.XLOOKUP(A254,长度要求!A:A,长度要求!D:D)</f>
        <v>200</v>
      </c>
      <c r="F254"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5" spans="1:6">
      <c r="A255">
        <f t="shared" si="9"/>
        <v>30</v>
      </c>
      <c r="B255" t="s">
        <v>833</v>
      </c>
      <c r="C255" t="s">
        <v>1369</v>
      </c>
      <c r="D255">
        <f t="shared" si="10"/>
        <v>454</v>
      </c>
      <c r="E255">
        <f>_xlfn.XLOOKUP(A255,长度要求!A:A,长度要求!D:D)</f>
        <v>200</v>
      </c>
      <c r="F255"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6" spans="1:6">
      <c r="A256">
        <f t="shared" si="9"/>
        <v>30</v>
      </c>
      <c r="B256" t="s">
        <v>833</v>
      </c>
      <c r="C256" t="s">
        <v>1369</v>
      </c>
      <c r="D256">
        <f t="shared" si="10"/>
        <v>454</v>
      </c>
      <c r="E256">
        <f>_xlfn.XLOOKUP(A256,长度要求!A:A,长度要求!D:D)</f>
        <v>200</v>
      </c>
      <c r="F256"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7" spans="1:6">
      <c r="A257">
        <f t="shared" si="9"/>
        <v>30</v>
      </c>
      <c r="B257" t="s">
        <v>833</v>
      </c>
      <c r="C257" t="s">
        <v>1369</v>
      </c>
      <c r="D257">
        <f t="shared" si="10"/>
        <v>454</v>
      </c>
      <c r="E257">
        <f>_xlfn.XLOOKUP(A257,长度要求!A:A,长度要求!D:D)</f>
        <v>200</v>
      </c>
      <c r="F257" t="str">
        <f t="shared" si="11"/>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8" spans="1:6">
      <c r="A258">
        <f t="shared" ref="A258:A321" si="12">COUNTIF(B:B,B258)</f>
        <v>30</v>
      </c>
      <c r="B258" t="s">
        <v>833</v>
      </c>
      <c r="C258" t="s">
        <v>1369</v>
      </c>
      <c r="D258">
        <f t="shared" ref="D258:D321" si="13">LEN(C258)</f>
        <v>454</v>
      </c>
      <c r="E258">
        <f>_xlfn.XLOOKUP(A258,长度要求!A:A,长度要求!D:D)</f>
        <v>200</v>
      </c>
      <c r="F258" t="str">
        <f t="shared" ref="F258:F321" si="14">IF(D258&lt;E258,C258,LEFT(C258,E258)&amp;"……")</f>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59" spans="1:6">
      <c r="A259">
        <f t="shared" si="12"/>
        <v>30</v>
      </c>
      <c r="B259" t="s">
        <v>833</v>
      </c>
      <c r="C259" t="s">
        <v>1369</v>
      </c>
      <c r="D259">
        <f t="shared" si="13"/>
        <v>454</v>
      </c>
      <c r="E259">
        <f>_xlfn.XLOOKUP(A259,长度要求!A:A,长度要求!D:D)</f>
        <v>200</v>
      </c>
      <c r="F259"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0" spans="1:6">
      <c r="A260">
        <f t="shared" si="12"/>
        <v>30</v>
      </c>
      <c r="B260" t="s">
        <v>833</v>
      </c>
      <c r="C260" t="s">
        <v>1369</v>
      </c>
      <c r="D260">
        <f t="shared" si="13"/>
        <v>454</v>
      </c>
      <c r="E260">
        <f>_xlfn.XLOOKUP(A260,长度要求!A:A,长度要求!D:D)</f>
        <v>200</v>
      </c>
      <c r="F260"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1" spans="1:6">
      <c r="A261">
        <f t="shared" si="12"/>
        <v>30</v>
      </c>
      <c r="B261" t="s">
        <v>833</v>
      </c>
      <c r="C261" t="s">
        <v>1369</v>
      </c>
      <c r="D261">
        <f t="shared" si="13"/>
        <v>454</v>
      </c>
      <c r="E261">
        <f>_xlfn.XLOOKUP(A261,长度要求!A:A,长度要求!D:D)</f>
        <v>200</v>
      </c>
      <c r="F261"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2" spans="1:6">
      <c r="A262">
        <f t="shared" si="12"/>
        <v>30</v>
      </c>
      <c r="B262" t="s">
        <v>833</v>
      </c>
      <c r="C262" t="s">
        <v>1369</v>
      </c>
      <c r="D262">
        <f t="shared" si="13"/>
        <v>454</v>
      </c>
      <c r="E262">
        <f>_xlfn.XLOOKUP(A262,长度要求!A:A,长度要求!D:D)</f>
        <v>200</v>
      </c>
      <c r="F262"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3" spans="1:6">
      <c r="A263">
        <f t="shared" si="12"/>
        <v>30</v>
      </c>
      <c r="B263" t="s">
        <v>833</v>
      </c>
      <c r="C263" t="s">
        <v>1369</v>
      </c>
      <c r="D263">
        <f t="shared" si="13"/>
        <v>454</v>
      </c>
      <c r="E263">
        <f>_xlfn.XLOOKUP(A263,长度要求!A:A,长度要求!D:D)</f>
        <v>200</v>
      </c>
      <c r="F263"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4" spans="1:6">
      <c r="A264">
        <f t="shared" si="12"/>
        <v>30</v>
      </c>
      <c r="B264" t="s">
        <v>833</v>
      </c>
      <c r="C264" t="s">
        <v>1369</v>
      </c>
      <c r="D264">
        <f t="shared" si="13"/>
        <v>454</v>
      </c>
      <c r="E264">
        <f>_xlfn.XLOOKUP(A264,长度要求!A:A,长度要求!D:D)</f>
        <v>200</v>
      </c>
      <c r="F264" t="str">
        <f t="shared" si="14"/>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row>
    <row r="265" spans="1:6">
      <c r="A265">
        <f t="shared" si="12"/>
        <v>8</v>
      </c>
      <c r="B265" t="s">
        <v>614</v>
      </c>
      <c r="C265" t="s">
        <v>1353</v>
      </c>
      <c r="D265">
        <f t="shared" si="13"/>
        <v>358</v>
      </c>
      <c r="E265">
        <f>_xlfn.XLOOKUP(A265,长度要求!A:A,长度要求!D:D)</f>
        <v>200</v>
      </c>
      <c r="F265" t="str">
        <f t="shared" si="14"/>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266" spans="1:6">
      <c r="A266">
        <f t="shared" si="12"/>
        <v>6</v>
      </c>
      <c r="B266" t="s">
        <v>749</v>
      </c>
      <c r="C266" t="s">
        <v>750</v>
      </c>
      <c r="D266">
        <f t="shared" si="13"/>
        <v>299</v>
      </c>
      <c r="E266">
        <f>_xlfn.XLOOKUP(A266,长度要求!A:A,长度要求!D:D)</f>
        <v>200</v>
      </c>
      <c r="F266" t="str">
        <f t="shared" si="14"/>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67" spans="1:6">
      <c r="A267">
        <f t="shared" si="12"/>
        <v>6</v>
      </c>
      <c r="B267" t="s">
        <v>749</v>
      </c>
      <c r="C267" t="s">
        <v>750</v>
      </c>
      <c r="D267">
        <f t="shared" si="13"/>
        <v>299</v>
      </c>
      <c r="E267">
        <f>_xlfn.XLOOKUP(A267,长度要求!A:A,长度要求!D:D)</f>
        <v>200</v>
      </c>
      <c r="F267" t="str">
        <f t="shared" si="14"/>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row>
    <row r="268" spans="1:6">
      <c r="A268">
        <f t="shared" si="12"/>
        <v>4</v>
      </c>
      <c r="B268" t="s">
        <v>58</v>
      </c>
      <c r="C268" t="s">
        <v>1296</v>
      </c>
      <c r="D268">
        <f t="shared" si="13"/>
        <v>162</v>
      </c>
      <c r="E268">
        <f>_xlfn.XLOOKUP(A268,长度要求!A:A,长度要求!D:D)</f>
        <v>200</v>
      </c>
      <c r="F268" t="str">
        <f t="shared" si="14"/>
        <v>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v>
      </c>
    </row>
    <row r="269" spans="1:6">
      <c r="A269">
        <f t="shared" si="12"/>
        <v>4</v>
      </c>
      <c r="B269" t="s">
        <v>58</v>
      </c>
      <c r="C269" t="s">
        <v>1296</v>
      </c>
      <c r="D269">
        <f t="shared" si="13"/>
        <v>162</v>
      </c>
      <c r="E269">
        <f>_xlfn.XLOOKUP(A269,长度要求!A:A,长度要求!D:D)</f>
        <v>200</v>
      </c>
      <c r="F269" t="str">
        <f t="shared" si="14"/>
        <v>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v>
      </c>
    </row>
    <row r="270" spans="1:6">
      <c r="A270">
        <f t="shared" si="12"/>
        <v>4</v>
      </c>
      <c r="B270" t="s">
        <v>720</v>
      </c>
      <c r="C270" t="s">
        <v>1359</v>
      </c>
      <c r="D270">
        <f t="shared" si="13"/>
        <v>1023</v>
      </c>
      <c r="E270">
        <f>_xlfn.XLOOKUP(A270,长度要求!A:A,长度要求!D:D)</f>
        <v>200</v>
      </c>
      <c r="F270" t="str">
        <f t="shared" si="14"/>
        <v>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v>
      </c>
    </row>
    <row r="271" spans="1:6">
      <c r="A271">
        <f t="shared" si="12"/>
        <v>4</v>
      </c>
      <c r="B271" t="s">
        <v>194</v>
      </c>
      <c r="C271" t="s">
        <v>1312</v>
      </c>
      <c r="D271">
        <f t="shared" si="13"/>
        <v>537</v>
      </c>
      <c r="E271">
        <f>_xlfn.XLOOKUP(A271,长度要求!A:A,长度要求!D:D)</f>
        <v>200</v>
      </c>
      <c r="F271" t="str">
        <f t="shared" si="14"/>
        <v>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v>
      </c>
    </row>
    <row r="272" spans="1:6">
      <c r="A272">
        <f t="shared" si="12"/>
        <v>1</v>
      </c>
      <c r="B272" t="s">
        <v>909</v>
      </c>
      <c r="C272" t="s">
        <v>910</v>
      </c>
      <c r="D272">
        <f t="shared" si="13"/>
        <v>237</v>
      </c>
      <c r="E272">
        <f>_xlfn.XLOOKUP(A272,长度要求!A:A,长度要求!D:D)</f>
        <v>200</v>
      </c>
      <c r="F272" t="str">
        <f t="shared" si="14"/>
        <v>上海迪士尼度假区是中国内地的第一个迪士尼度假区，在这里，亲朋好友们可以尽情体验和畅享一个充满奇幻、想象、创意和探险的全新世界。该度假区是上海迪士尼乐园的所在地，度假区内设两座主题酒店，一个大型购物、餐饮和娱乐区——迪士尼小镇，星愿公园和其他户外休闲区域。上海迪士尼度假区的演职人员为游客提供一流的服务，该度假区专为中国游客打造了融合了迪士尼神奇和中国文化魅力的体验。在不断发展这一神奇目的时，我们也在……</v>
      </c>
    </row>
    <row r="273" spans="1:6">
      <c r="A273">
        <f t="shared" si="12"/>
        <v>8</v>
      </c>
      <c r="B273" t="s">
        <v>450</v>
      </c>
      <c r="C273" t="s">
        <v>1334</v>
      </c>
      <c r="D273">
        <f t="shared" si="13"/>
        <v>1368</v>
      </c>
      <c r="E273">
        <f>_xlfn.XLOOKUP(A273,长度要求!A:A,长度要求!D:D)</f>
        <v>200</v>
      </c>
      <c r="F273" t="str">
        <f t="shared" si="14"/>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274" spans="1:6">
      <c r="A274">
        <f t="shared" si="12"/>
        <v>4</v>
      </c>
      <c r="B274" t="s">
        <v>312</v>
      </c>
      <c r="C274" t="s">
        <v>1319</v>
      </c>
      <c r="D274">
        <f t="shared" si="13"/>
        <v>266</v>
      </c>
      <c r="E274">
        <f>_xlfn.XLOOKUP(A274,长度要求!A:A,长度要求!D:D)</f>
        <v>200</v>
      </c>
      <c r="F274" t="str">
        <f t="shared" si="14"/>
        <v>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v>
      </c>
    </row>
    <row r="275" spans="1:6">
      <c r="A275">
        <f t="shared" si="12"/>
        <v>5</v>
      </c>
      <c r="B275" t="s">
        <v>598</v>
      </c>
      <c r="C275" t="s">
        <v>1351</v>
      </c>
      <c r="D275">
        <f t="shared" si="13"/>
        <v>531</v>
      </c>
      <c r="E275">
        <f>_xlfn.XLOOKUP(A275,长度要求!A:A,长度要求!D:D)</f>
        <v>200</v>
      </c>
      <c r="F275" t="str">
        <f t="shared" si="14"/>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row>
    <row r="276" spans="1:6">
      <c r="A276">
        <f t="shared" si="12"/>
        <v>8</v>
      </c>
      <c r="B276" t="s">
        <v>717</v>
      </c>
      <c r="C276" t="s">
        <v>1358</v>
      </c>
      <c r="D276">
        <f t="shared" si="13"/>
        <v>519</v>
      </c>
      <c r="E276">
        <f>_xlfn.XLOOKUP(A276,长度要求!A:A,长度要求!D:D)</f>
        <v>200</v>
      </c>
      <c r="F276" t="str">
        <f t="shared" si="14"/>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277" spans="1:6">
      <c r="A277">
        <f t="shared" si="12"/>
        <v>4</v>
      </c>
      <c r="B277" t="s">
        <v>312</v>
      </c>
      <c r="C277" t="s">
        <v>1319</v>
      </c>
      <c r="D277">
        <f t="shared" si="13"/>
        <v>266</v>
      </c>
      <c r="E277">
        <f>_xlfn.XLOOKUP(A277,长度要求!A:A,长度要求!D:D)</f>
        <v>200</v>
      </c>
      <c r="F277" t="str">
        <f t="shared" si="14"/>
        <v>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v>
      </c>
    </row>
    <row r="278" spans="1:6">
      <c r="A278">
        <f t="shared" si="12"/>
        <v>3</v>
      </c>
      <c r="B278" t="s">
        <v>925</v>
      </c>
      <c r="C278" t="s">
        <v>926</v>
      </c>
      <c r="D278">
        <f t="shared" si="13"/>
        <v>111</v>
      </c>
      <c r="E278">
        <f>_xlfn.XLOOKUP(A278,长度要求!A:A,长度要求!D:D)</f>
        <v>200</v>
      </c>
      <c r="F278" t="str">
        <f t="shared" si="14"/>
        <v>浙江永恒文希传媒有限公司上海分公司成立于2023年04月26日，注册地位于上海市闵行区申旺路18号1幢163,165室，法定代表人为袁炯校。经营范围包括许可项目：广播电视节目制作经营；演出经纪；网络文化经营；音像制品制作。</v>
      </c>
    </row>
    <row r="279" spans="1:6">
      <c r="A279">
        <f t="shared" si="12"/>
        <v>3</v>
      </c>
      <c r="B279" t="s">
        <v>925</v>
      </c>
      <c r="C279" t="s">
        <v>926</v>
      </c>
      <c r="D279">
        <f t="shared" si="13"/>
        <v>111</v>
      </c>
      <c r="E279">
        <f>_xlfn.XLOOKUP(A279,长度要求!A:A,长度要求!D:D)</f>
        <v>200</v>
      </c>
      <c r="F279" t="str">
        <f t="shared" si="14"/>
        <v>浙江永恒文希传媒有限公司上海分公司成立于2023年04月26日，注册地位于上海市闵行区申旺路18号1幢163,165室，法定代表人为袁炯校。经营范围包括许可项目：广播电视节目制作经营；演出经纪；网络文化经营；音像制品制作。</v>
      </c>
    </row>
    <row r="280" spans="1:6">
      <c r="A280">
        <f t="shared" si="12"/>
        <v>3</v>
      </c>
      <c r="B280" t="s">
        <v>925</v>
      </c>
      <c r="C280" t="s">
        <v>926</v>
      </c>
      <c r="D280">
        <f t="shared" si="13"/>
        <v>111</v>
      </c>
      <c r="E280">
        <f>_xlfn.XLOOKUP(A280,长度要求!A:A,长度要求!D:D)</f>
        <v>200</v>
      </c>
      <c r="F280" t="str">
        <f t="shared" si="14"/>
        <v>浙江永恒文希传媒有限公司上海分公司成立于2023年04月26日，注册地位于上海市闵行区申旺路18号1幢163,165室，法定代表人为袁炯校。经营范围包括许可项目：广播电视节目制作经营；演出经纪；网络文化经营；音像制品制作。</v>
      </c>
    </row>
    <row r="281" spans="1:6">
      <c r="A281">
        <f t="shared" si="12"/>
        <v>3</v>
      </c>
      <c r="B281" t="s">
        <v>811</v>
      </c>
      <c r="C281" t="s">
        <v>1367</v>
      </c>
      <c r="D281">
        <f t="shared" si="13"/>
        <v>252</v>
      </c>
      <c r="E281">
        <f>_xlfn.XLOOKUP(A281,长度要求!A:A,长度要求!D:D)</f>
        <v>200</v>
      </c>
      <c r="F281" t="str">
        <f t="shared" si="14"/>
        <v>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
米锐可的英文Miracle意为“奇迹”，希望每一个员工都可以在人性化的环境里，创造出属于自己及公司的奇迹。公司始终坚守“思考、利人”的价值观……</v>
      </c>
    </row>
    <row r="282" spans="1:6">
      <c r="A282">
        <f t="shared" si="12"/>
        <v>6</v>
      </c>
      <c r="B282" t="s">
        <v>78</v>
      </c>
      <c r="C282" t="s">
        <v>1298</v>
      </c>
      <c r="D282">
        <f t="shared" si="13"/>
        <v>353</v>
      </c>
      <c r="E282">
        <f>_xlfn.XLOOKUP(A282,长度要求!A:A,长度要求!D:D)</f>
        <v>200</v>
      </c>
      <c r="F282" t="str">
        <f t="shared" si="14"/>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283" spans="1:6">
      <c r="A283">
        <f t="shared" si="12"/>
        <v>6</v>
      </c>
      <c r="B283" t="s">
        <v>78</v>
      </c>
      <c r="C283" t="s">
        <v>1298</v>
      </c>
      <c r="D283">
        <f t="shared" si="13"/>
        <v>353</v>
      </c>
      <c r="E283">
        <f>_xlfn.XLOOKUP(A283,长度要求!A:A,长度要求!D:D)</f>
        <v>200</v>
      </c>
      <c r="F283" t="str">
        <f t="shared" si="14"/>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284" spans="1:6">
      <c r="A284">
        <f t="shared" si="12"/>
        <v>6</v>
      </c>
      <c r="B284" t="s">
        <v>78</v>
      </c>
      <c r="C284" t="s">
        <v>1298</v>
      </c>
      <c r="D284">
        <f t="shared" si="13"/>
        <v>353</v>
      </c>
      <c r="E284">
        <f>_xlfn.XLOOKUP(A284,长度要求!A:A,长度要求!D:D)</f>
        <v>200</v>
      </c>
      <c r="F284" t="str">
        <f t="shared" si="14"/>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285" spans="1:6">
      <c r="A285">
        <f t="shared" si="12"/>
        <v>6</v>
      </c>
      <c r="B285" t="s">
        <v>78</v>
      </c>
      <c r="C285" t="s">
        <v>1298</v>
      </c>
      <c r="D285">
        <f t="shared" si="13"/>
        <v>353</v>
      </c>
      <c r="E285">
        <f>_xlfn.XLOOKUP(A285,长度要求!A:A,长度要求!D:D)</f>
        <v>200</v>
      </c>
      <c r="F285" t="str">
        <f t="shared" si="14"/>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row>
    <row r="286" spans="1:6">
      <c r="A286">
        <f t="shared" si="12"/>
        <v>8</v>
      </c>
      <c r="B286" t="s">
        <v>717</v>
      </c>
      <c r="C286" t="s">
        <v>1358</v>
      </c>
      <c r="D286">
        <f t="shared" si="13"/>
        <v>519</v>
      </c>
      <c r="E286">
        <f>_xlfn.XLOOKUP(A286,长度要求!A:A,长度要求!D:D)</f>
        <v>200</v>
      </c>
      <c r="F286" t="str">
        <f t="shared" si="14"/>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287" spans="1:6">
      <c r="A287">
        <f t="shared" si="12"/>
        <v>8</v>
      </c>
      <c r="B287" t="s">
        <v>717</v>
      </c>
      <c r="C287" t="s">
        <v>1358</v>
      </c>
      <c r="D287">
        <f t="shared" si="13"/>
        <v>519</v>
      </c>
      <c r="E287">
        <f>_xlfn.XLOOKUP(A287,长度要求!A:A,长度要求!D:D)</f>
        <v>200</v>
      </c>
      <c r="F287" t="str">
        <f t="shared" si="14"/>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288" spans="1:6">
      <c r="A288">
        <f t="shared" si="12"/>
        <v>8</v>
      </c>
      <c r="B288" t="s">
        <v>450</v>
      </c>
      <c r="C288" t="s">
        <v>1334</v>
      </c>
      <c r="D288">
        <f t="shared" si="13"/>
        <v>1368</v>
      </c>
      <c r="E288">
        <f>_xlfn.XLOOKUP(A288,长度要求!A:A,长度要求!D:D)</f>
        <v>200</v>
      </c>
      <c r="F288" t="str">
        <f t="shared" si="14"/>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289" spans="1:6">
      <c r="A289">
        <f t="shared" si="12"/>
        <v>3</v>
      </c>
      <c r="B289" t="s">
        <v>446</v>
      </c>
      <c r="C289" t="s">
        <v>1333</v>
      </c>
      <c r="D289">
        <f t="shared" si="13"/>
        <v>194</v>
      </c>
      <c r="E289">
        <f>_xlfn.XLOOKUP(A289,长度要求!A:A,长度要求!D:D)</f>
        <v>200</v>
      </c>
      <c r="F289" t="str">
        <f t="shared" si="14"/>
        <v>       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v>
      </c>
    </row>
    <row r="290" spans="1:6">
      <c r="A290">
        <f t="shared" si="12"/>
        <v>5</v>
      </c>
      <c r="B290" t="s">
        <v>219</v>
      </c>
      <c r="C290" t="s">
        <v>1314</v>
      </c>
      <c r="D290">
        <f t="shared" si="13"/>
        <v>626</v>
      </c>
      <c r="E290">
        <f>_xlfn.XLOOKUP(A290,长度要求!A:A,长度要求!D:D)</f>
        <v>200</v>
      </c>
      <c r="F290" t="str">
        <f t="shared" si="14"/>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row>
    <row r="291" spans="1:6">
      <c r="A291">
        <f t="shared" si="12"/>
        <v>5</v>
      </c>
      <c r="B291" t="s">
        <v>219</v>
      </c>
      <c r="C291" t="s">
        <v>1314</v>
      </c>
      <c r="D291">
        <f t="shared" si="13"/>
        <v>626</v>
      </c>
      <c r="E291">
        <f>_xlfn.XLOOKUP(A291,长度要求!A:A,长度要求!D:D)</f>
        <v>200</v>
      </c>
      <c r="F291" t="str">
        <f t="shared" si="14"/>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row>
    <row r="292" spans="1:6">
      <c r="A292">
        <f t="shared" si="12"/>
        <v>5</v>
      </c>
      <c r="B292" t="s">
        <v>189</v>
      </c>
      <c r="C292" t="s">
        <v>1311</v>
      </c>
      <c r="D292">
        <f t="shared" si="13"/>
        <v>495</v>
      </c>
      <c r="E292">
        <f>_xlfn.XLOOKUP(A292,长度要求!A:A,长度要求!D:D)</f>
        <v>200</v>
      </c>
      <c r="F292" t="str">
        <f t="shared" si="14"/>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row>
    <row r="293" spans="1:6">
      <c r="A293">
        <f t="shared" si="12"/>
        <v>6</v>
      </c>
      <c r="B293" t="s">
        <v>318</v>
      </c>
      <c r="C293" t="s">
        <v>1320</v>
      </c>
      <c r="D293">
        <f t="shared" si="13"/>
        <v>248</v>
      </c>
      <c r="E293">
        <f>_xlfn.XLOOKUP(A293,长度要求!A:A,长度要求!D:D)</f>
        <v>200</v>
      </c>
      <c r="F293" t="str">
        <f t="shared" si="14"/>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294" spans="1:6">
      <c r="A294">
        <f t="shared" si="12"/>
        <v>1</v>
      </c>
      <c r="B294" t="s">
        <v>964</v>
      </c>
      <c r="C294" t="s">
        <v>1370</v>
      </c>
      <c r="D294">
        <f t="shared" si="13"/>
        <v>527</v>
      </c>
      <c r="E294">
        <f>_xlfn.XLOOKUP(A294,长度要求!A:A,长度要求!D:D)</f>
        <v>200</v>
      </c>
      <c r="F294" t="str">
        <f t="shared" si="14"/>
        <v>万国数据服务有限公司（纳斯达克股票代码：GDS ；港交所 股票代码： 9698 ）是国内面向 5G 、人工智能、云计算、工业互联网、区块链等领域的新一代信息技术基础设施服务提供商，于 2016 年在美国纳斯达克上市，并于 2020 年在港交所成功二次上市。公司拥有 21 年安全可靠的 IT 基础设施服务经验，在国内核心经济区域部
署数据中心。截至 20 22 年第 二 季度末 ，公司在京津冀地区、……</v>
      </c>
    </row>
    <row r="295" spans="1:6">
      <c r="A295">
        <f t="shared" si="12"/>
        <v>4</v>
      </c>
      <c r="B295" t="s">
        <v>58</v>
      </c>
      <c r="C295" t="s">
        <v>1296</v>
      </c>
      <c r="D295">
        <f t="shared" si="13"/>
        <v>162</v>
      </c>
      <c r="E295">
        <f>_xlfn.XLOOKUP(A295,长度要求!A:A,长度要求!D:D)</f>
        <v>200</v>
      </c>
      <c r="F295" t="str">
        <f t="shared" si="14"/>
        <v>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v>
      </c>
    </row>
    <row r="296" spans="1:6">
      <c r="A296">
        <f t="shared" si="12"/>
        <v>4</v>
      </c>
      <c r="B296" t="s">
        <v>194</v>
      </c>
      <c r="C296" t="s">
        <v>1312</v>
      </c>
      <c r="D296">
        <f t="shared" si="13"/>
        <v>537</v>
      </c>
      <c r="E296">
        <f>_xlfn.XLOOKUP(A296,长度要求!A:A,长度要求!D:D)</f>
        <v>200</v>
      </c>
      <c r="F296" t="str">
        <f t="shared" si="14"/>
        <v>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v>
      </c>
    </row>
    <row r="297" spans="1:6">
      <c r="A297">
        <f t="shared" si="12"/>
        <v>4</v>
      </c>
      <c r="B297" t="s">
        <v>194</v>
      </c>
      <c r="C297" t="s">
        <v>1312</v>
      </c>
      <c r="D297">
        <f t="shared" si="13"/>
        <v>537</v>
      </c>
      <c r="E297">
        <f>_xlfn.XLOOKUP(A297,长度要求!A:A,长度要求!D:D)</f>
        <v>200</v>
      </c>
      <c r="F297" t="str">
        <f t="shared" si="14"/>
        <v>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v>
      </c>
    </row>
    <row r="298" spans="1:6">
      <c r="A298">
        <f t="shared" si="12"/>
        <v>3</v>
      </c>
      <c r="B298" t="s">
        <v>977</v>
      </c>
      <c r="C298" t="s">
        <v>978</v>
      </c>
      <c r="D298">
        <f t="shared" si="13"/>
        <v>162</v>
      </c>
      <c r="E298">
        <f>_xlfn.XLOOKUP(A298,长度要求!A:A,长度要求!D:D)</f>
        <v>200</v>
      </c>
      <c r="F298" t="str">
        <f t="shared" si="14"/>
        <v>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v>
      </c>
    </row>
    <row r="299" spans="1:6">
      <c r="A299">
        <f t="shared" si="12"/>
        <v>6</v>
      </c>
      <c r="B299" t="s">
        <v>455</v>
      </c>
      <c r="C299" t="s">
        <v>1335</v>
      </c>
      <c r="D299">
        <f t="shared" si="13"/>
        <v>381</v>
      </c>
      <c r="E299">
        <f>_xlfn.XLOOKUP(A299,长度要求!A:A,长度要求!D:D)</f>
        <v>200</v>
      </c>
      <c r="F299" t="str">
        <f t="shared" si="14"/>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row>
    <row r="300" spans="1:6">
      <c r="A300">
        <f t="shared" si="12"/>
        <v>6</v>
      </c>
      <c r="B300" t="s">
        <v>318</v>
      </c>
      <c r="C300" t="s">
        <v>1320</v>
      </c>
      <c r="D300">
        <f t="shared" si="13"/>
        <v>248</v>
      </c>
      <c r="E300">
        <f>_xlfn.XLOOKUP(A300,长度要求!A:A,长度要求!D:D)</f>
        <v>200</v>
      </c>
      <c r="F300" t="str">
        <f t="shared" si="14"/>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301" spans="1:6">
      <c r="A301">
        <f t="shared" si="12"/>
        <v>3</v>
      </c>
      <c r="B301" t="s">
        <v>558</v>
      </c>
      <c r="C301" t="s">
        <v>559</v>
      </c>
      <c r="D301">
        <f t="shared" si="13"/>
        <v>287</v>
      </c>
      <c r="E301">
        <f>_xlfn.XLOOKUP(A301,长度要求!A:A,长度要求!D:D)</f>
        <v>200</v>
      </c>
      <c r="F301" t="str">
        <f t="shared" si="14"/>
        <v>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v>
      </c>
    </row>
    <row r="302" spans="1:6">
      <c r="A302">
        <f t="shared" si="12"/>
        <v>1</v>
      </c>
      <c r="B302" t="s">
        <v>987</v>
      </c>
      <c r="C302" t="s">
        <v>1371</v>
      </c>
      <c r="D302">
        <f t="shared" si="13"/>
        <v>265</v>
      </c>
      <c r="E302">
        <f>_xlfn.XLOOKUP(A302,长度要求!A:A,长度要求!D:D)</f>
        <v>200</v>
      </c>
      <c r="F302" t="str">
        <f t="shared" si="14"/>
        <v>上海捷声商务服务有限公司
Jie Sheng Communication Services （Shanghai）Inc.以下简称 捷声 或 JCS
2015年3月成立于上海自贸区，作为金慧科技集团全资子公司同时
作为VCS的中国兄弟公司，主要负责呼叫中心项目实际落地运营工作。
金慧科技集团
成立时间  2013年11月，注册资金  10000万元
雇员总数 10000+，国内交付地 24，国内交付……</v>
      </c>
    </row>
    <row r="303" spans="1:6">
      <c r="A303">
        <f t="shared" si="12"/>
        <v>1</v>
      </c>
      <c r="B303" t="s">
        <v>991</v>
      </c>
      <c r="C303" t="s">
        <v>1372</v>
      </c>
      <c r="D303">
        <f t="shared" si="13"/>
        <v>502</v>
      </c>
      <c r="E303">
        <f>_xlfn.XLOOKUP(A303,长度要求!A:A,长度要求!D:D)</f>
        <v>200</v>
      </c>
      <c r="F303" t="str">
        <f t="shared" si="14"/>
        <v>     上海堃苗教育科技有限公司，是贝思优托育品牌总部公司。贝思优品牌创设于 2017
年，专注于 0-3 婴幼儿托育服务，是爱绿教育集团下属的品牌。自 2016 年 9 月起，在
集团 30 多年的办学经验和平台上，贝思优深耕 0-3 托育服务品质，是业内极具专业口
碑的持证合法化托育园！   
      爱绿教育集团是一家以学前教育为主营业务的综合性教育产业集团。爱绿品牌于
1987 年创……</v>
      </c>
    </row>
    <row r="304" spans="1:6">
      <c r="A304">
        <f t="shared" si="12"/>
        <v>1</v>
      </c>
      <c r="B304" t="s">
        <v>995</v>
      </c>
      <c r="C304" t="s">
        <v>1373</v>
      </c>
      <c r="D304">
        <f t="shared" si="13"/>
        <v>179</v>
      </c>
      <c r="E304">
        <f>_xlfn.XLOOKUP(A304,长度要求!A:A,长度要求!D:D)</f>
        <v>200</v>
      </c>
      <c r="F304" t="str">
        <f t="shared" si="14"/>
        <v>微星科技成立于 1986年8月,一直以来始终秉持着『 产品卓越、质量精良、服务完美、客户满意 』的四大经营理念，专精于主板、各式显示适配器、笔记本产品的设计及制造，基于对客户满意的坚持下，历经严格的考验脱颖而出，跃身成为全球前三大的主板制造商；同时也是台湾最大、全球前五大的服务器制造商。而显示适配器的表现更是令人赞叹，已连续四年蝉联全球显示卡销售冠军美誉。</v>
      </c>
    </row>
    <row r="305" spans="1:6">
      <c r="A305">
        <f t="shared" si="12"/>
        <v>5</v>
      </c>
      <c r="B305" t="s">
        <v>180</v>
      </c>
      <c r="C305" t="s">
        <v>1310</v>
      </c>
      <c r="D305">
        <f t="shared" si="13"/>
        <v>385</v>
      </c>
      <c r="E305">
        <f>_xlfn.XLOOKUP(A305,长度要求!A:A,长度要求!D:D)</f>
        <v>200</v>
      </c>
      <c r="F305" t="str">
        <f t="shared" si="14"/>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row>
    <row r="306" spans="1:6">
      <c r="A306">
        <f t="shared" si="12"/>
        <v>5</v>
      </c>
      <c r="B306" t="s">
        <v>180</v>
      </c>
      <c r="C306" t="s">
        <v>1310</v>
      </c>
      <c r="D306">
        <f t="shared" si="13"/>
        <v>385</v>
      </c>
      <c r="E306">
        <f>_xlfn.XLOOKUP(A306,长度要求!A:A,长度要求!D:D)</f>
        <v>200</v>
      </c>
      <c r="F306" t="str">
        <f t="shared" si="14"/>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row>
    <row r="307" spans="1:6">
      <c r="A307">
        <f t="shared" si="12"/>
        <v>2</v>
      </c>
      <c r="B307" t="s">
        <v>155</v>
      </c>
      <c r="C307" t="s">
        <v>1307</v>
      </c>
      <c r="D307">
        <f t="shared" si="13"/>
        <v>547</v>
      </c>
      <c r="E307">
        <f>_xlfn.XLOOKUP(A307,长度要求!A:A,长度要求!D:D)</f>
        <v>200</v>
      </c>
      <c r="F307" t="str">
        <f t="shared" si="14"/>
        <v>“和我们共创无限可能的未来”
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v>
      </c>
    </row>
    <row r="308" spans="1:6">
      <c r="A308">
        <f t="shared" si="12"/>
        <v>1</v>
      </c>
      <c r="B308" t="s">
        <v>1005</v>
      </c>
      <c r="C308" t="s">
        <v>1374</v>
      </c>
      <c r="D308">
        <f t="shared" si="13"/>
        <v>306</v>
      </c>
      <c r="E308">
        <f>_xlfn.XLOOKUP(A308,长度要求!A:A,长度要求!D:D)</f>
        <v>200</v>
      </c>
      <c r="F308" t="str">
        <f t="shared" si="14"/>
        <v>JAKA节卡机器人，全球协作机器人革新者。创立于2014年，音译自英文名“JAKA”（Just Always Keep Amazing）永葆卓越之意，是一家聚焦于新一代协作机器人本体与智慧工厂创新研发的高新技术企业。
节卡机器人传承了上海交通大学机器人研究所自1979年以来的机器人核心技术积累与研发基因，组建了由10余名领域权威专家及百余名资深工程师组成的庞大研发团队，目前在驱控一体化、一体化关……</v>
      </c>
    </row>
    <row r="309" spans="1:6">
      <c r="A309">
        <f t="shared" si="12"/>
        <v>3</v>
      </c>
      <c r="B309" t="s">
        <v>1010</v>
      </c>
      <c r="C309" t="s">
        <v>1375</v>
      </c>
      <c r="D309">
        <f t="shared" si="13"/>
        <v>897</v>
      </c>
      <c r="E309">
        <f>_xlfn.XLOOKUP(A309,长度要求!A:A,长度要求!D:D)</f>
        <v>200</v>
      </c>
      <c r="F309" t="str">
        <f t="shared" si="14"/>
        <v>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v>
      </c>
    </row>
    <row r="310" spans="1:6">
      <c r="A310">
        <f t="shared" si="12"/>
        <v>3</v>
      </c>
      <c r="B310" t="s">
        <v>1010</v>
      </c>
      <c r="C310" t="s">
        <v>1375</v>
      </c>
      <c r="D310">
        <f t="shared" si="13"/>
        <v>897</v>
      </c>
      <c r="E310">
        <f>_xlfn.XLOOKUP(A310,长度要求!A:A,长度要求!D:D)</f>
        <v>200</v>
      </c>
      <c r="F310" t="str">
        <f t="shared" si="14"/>
        <v>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v>
      </c>
    </row>
    <row r="311" spans="1:6">
      <c r="A311">
        <f t="shared" si="12"/>
        <v>8</v>
      </c>
      <c r="B311" t="s">
        <v>450</v>
      </c>
      <c r="C311" t="s">
        <v>1334</v>
      </c>
      <c r="D311">
        <f t="shared" si="13"/>
        <v>1368</v>
      </c>
      <c r="E311">
        <f>_xlfn.XLOOKUP(A311,长度要求!A:A,长度要求!D:D)</f>
        <v>200</v>
      </c>
      <c r="F311" t="str">
        <f t="shared" si="14"/>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312" spans="1:6">
      <c r="A312">
        <f t="shared" si="12"/>
        <v>1</v>
      </c>
      <c r="B312" t="s">
        <v>1023</v>
      </c>
      <c r="C312" t="s">
        <v>1376</v>
      </c>
      <c r="D312">
        <f t="shared" si="13"/>
        <v>664</v>
      </c>
      <c r="E312">
        <f>_xlfn.XLOOKUP(A312,长度要求!A:A,长度要求!D:D)</f>
        <v>200</v>
      </c>
      <c r="F312" t="str">
        <f t="shared" si="14"/>
        <v>       八〇三所，始建于1960年，是我国最早从事导弹武器、航天运输器、空间飞行器控制系统和惯性技术产品研制的单位之一，已发展成为集研发、设计、生产、试验为一体，专业优势突出、产品配套齐全、具有自主创新能力和综合优势的航天控制系统研究所。
       依托系统研发与单机研制的综合优势，八〇三所的飞行控制、光电探测与制导、惯性测量与导航、伺服驱动与控制等技术均达到国内先进水平，产品应用覆盖陆……</v>
      </c>
    </row>
    <row r="313" spans="1:6">
      <c r="A313">
        <f t="shared" si="12"/>
        <v>8</v>
      </c>
      <c r="B313" t="s">
        <v>450</v>
      </c>
      <c r="C313" t="s">
        <v>1334</v>
      </c>
      <c r="D313">
        <f t="shared" si="13"/>
        <v>1368</v>
      </c>
      <c r="E313">
        <f>_xlfn.XLOOKUP(A313,长度要求!A:A,长度要求!D:D)</f>
        <v>200</v>
      </c>
      <c r="F313" t="str">
        <f t="shared" si="14"/>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314" spans="1:6">
      <c r="A314">
        <f t="shared" si="12"/>
        <v>8</v>
      </c>
      <c r="B314" t="s">
        <v>450</v>
      </c>
      <c r="C314" t="s">
        <v>1334</v>
      </c>
      <c r="D314">
        <f t="shared" si="13"/>
        <v>1368</v>
      </c>
      <c r="E314">
        <f>_xlfn.XLOOKUP(A314,长度要求!A:A,长度要求!D:D)</f>
        <v>200</v>
      </c>
      <c r="F314" t="str">
        <f t="shared" si="14"/>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315" spans="1:6">
      <c r="A315">
        <f t="shared" si="12"/>
        <v>7</v>
      </c>
      <c r="B315" t="s">
        <v>647</v>
      </c>
      <c r="C315" t="s">
        <v>1354</v>
      </c>
      <c r="D315">
        <f t="shared" si="13"/>
        <v>208</v>
      </c>
      <c r="E315">
        <f>_xlfn.XLOOKUP(A315,长度要求!A:A,长度要求!D:D)</f>
        <v>200</v>
      </c>
      <c r="F315" t="str">
        <f t="shared" si="14"/>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316" spans="1:6">
      <c r="A316">
        <f t="shared" si="12"/>
        <v>2</v>
      </c>
      <c r="B316" t="s">
        <v>1035</v>
      </c>
      <c r="C316" t="s">
        <v>1377</v>
      </c>
      <c r="D316">
        <f t="shared" si="13"/>
        <v>663</v>
      </c>
      <c r="E316">
        <f>_xlfn.XLOOKUP(A316,长度要求!A:A,长度要求!D:D)</f>
        <v>200</v>
      </c>
      <c r="F316" t="str">
        <f t="shared" si="14"/>
        <v>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
现拥有国内唯一的空间电源全国重点实验室，建有电子电源、化学电源、物理电源等电源领域研发中心，获科技部批复建有空间电源技术国际科技合作基地。
2020年……</v>
      </c>
    </row>
    <row r="317" spans="1:6">
      <c r="A317">
        <f t="shared" si="12"/>
        <v>2</v>
      </c>
      <c r="B317" t="s">
        <v>1035</v>
      </c>
      <c r="C317" t="s">
        <v>1377</v>
      </c>
      <c r="D317">
        <f t="shared" si="13"/>
        <v>663</v>
      </c>
      <c r="E317">
        <f>_xlfn.XLOOKUP(A317,长度要求!A:A,长度要求!D:D)</f>
        <v>200</v>
      </c>
      <c r="F317" t="str">
        <f t="shared" si="14"/>
        <v>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
现拥有国内唯一的空间电源全国重点实验室，建有电子电源、化学电源、物理电源等电源领域研发中心，获科技部批复建有空间电源技术国际科技合作基地。
2020年……</v>
      </c>
    </row>
    <row r="318" spans="1:6">
      <c r="A318">
        <f t="shared" si="12"/>
        <v>3</v>
      </c>
      <c r="B318" t="s">
        <v>811</v>
      </c>
      <c r="C318" t="s">
        <v>1367</v>
      </c>
      <c r="D318">
        <f t="shared" si="13"/>
        <v>252</v>
      </c>
      <c r="E318">
        <f>_xlfn.XLOOKUP(A318,长度要求!A:A,长度要求!D:D)</f>
        <v>200</v>
      </c>
      <c r="F318" t="str">
        <f t="shared" si="14"/>
        <v>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
米锐可的英文Miracle意为“奇迹”，希望每一个员工都可以在人性化的环境里，创造出属于自己及公司的奇迹。公司始终坚守“思考、利人”的价值观……</v>
      </c>
    </row>
    <row r="319" spans="1:6">
      <c r="A319">
        <f t="shared" si="12"/>
        <v>1</v>
      </c>
      <c r="B319" t="s">
        <v>1045</v>
      </c>
      <c r="C319" t="s">
        <v>1378</v>
      </c>
      <c r="D319">
        <f t="shared" si="13"/>
        <v>377</v>
      </c>
      <c r="E319">
        <f>_xlfn.XLOOKUP(A319,长度要求!A:A,长度要求!D:D)</f>
        <v>200</v>
      </c>
      <c r="F319" t="str">
        <f t="shared" si="14"/>
        <v>上海格瑞特科技实业股份有限公司，立于1994年； 
中国楼控唯一新三板挂牌公司（证券代码：872532）
格瑞特是建筑智能化行业建筑设备安全运行解决方案的老牌设备制造商、服务商、解决方案提供商、设备能源服务运营商；中国楼控唯一新三板挂牌公司（证券代码872532）；系上海高新技术企业，软件企业，拥有50余项专利和软件著作权；系中国TC-100标准化委员会委员单位；多个行业协会副理事长和理事单位；
……</v>
      </c>
    </row>
    <row r="320" spans="1:6">
      <c r="A320">
        <f t="shared" si="12"/>
        <v>2</v>
      </c>
      <c r="B320" t="s">
        <v>687</v>
      </c>
      <c r="C320" t="s">
        <v>1356</v>
      </c>
      <c r="D320">
        <f t="shared" si="13"/>
        <v>841</v>
      </c>
      <c r="E320">
        <f>_xlfn.XLOOKUP(A320,长度要求!A:A,长度要求!D:D)</f>
        <v>200</v>
      </c>
      <c r="F320" t="str">
        <f t="shared" si="14"/>
        <v>挪亚检测认证集团(NOA|挪亚)成立于1999年，是一家独立、公正及专业的综合性检验、检测、认证以及研究研发和品质保障服务机构，集团总部位于中国上海。NOA|挪亚是中国最早从事检验、检测及认证的第三方服务机构之一。
NOA|挪亚已获得中国国家认证认可监督管理委员会（CNCA）批准（CNCA-R-2002-51）和中国计量认证(CMA)的资质评定，并且已通过中国合格评定国家认可委员会（CNAS）及……</v>
      </c>
    </row>
    <row r="321" spans="1:6">
      <c r="A321">
        <f t="shared" si="12"/>
        <v>3</v>
      </c>
      <c r="B321" t="s">
        <v>1010</v>
      </c>
      <c r="C321" t="s">
        <v>1375</v>
      </c>
      <c r="D321">
        <f t="shared" si="13"/>
        <v>897</v>
      </c>
      <c r="E321">
        <f>_xlfn.XLOOKUP(A321,长度要求!A:A,长度要求!D:D)</f>
        <v>200</v>
      </c>
      <c r="F321" t="str">
        <f t="shared" si="14"/>
        <v>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v>
      </c>
    </row>
    <row r="322" spans="1:6">
      <c r="A322">
        <f t="shared" ref="A322:A363" si="15">COUNTIF(B:B,B322)</f>
        <v>7</v>
      </c>
      <c r="B322" t="s">
        <v>1054</v>
      </c>
      <c r="C322" t="s">
        <v>1379</v>
      </c>
      <c r="D322">
        <f t="shared" ref="D322:D363" si="16">LEN(C322)</f>
        <v>459</v>
      </c>
      <c r="E322">
        <f>_xlfn.XLOOKUP(A322,长度要求!A:A,长度要求!D:D)</f>
        <v>200</v>
      </c>
      <c r="F322" t="str">
        <f t="shared" ref="F322:F363" si="17">IF(D322&lt;E322,C322,LEFT(C322,E322)&amp;"……")</f>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23" spans="1:6">
      <c r="A323">
        <f t="shared" si="15"/>
        <v>2</v>
      </c>
      <c r="B323" t="s">
        <v>282</v>
      </c>
      <c r="C323" t="s">
        <v>283</v>
      </c>
      <c r="D323">
        <f t="shared" si="16"/>
        <v>149</v>
      </c>
      <c r="E323">
        <f>_xlfn.XLOOKUP(A323,长度要求!A:A,长度要求!D:D)</f>
        <v>200</v>
      </c>
      <c r="F323" t="str">
        <f t="shared" si="17"/>
        <v>上海市闵行区医疗急救中心隶属于上海市闵行区卫生健康委员会，是区内唯一从事院前急救专业的公立医疗卫生事业单位。承担了闵行区内272万人口的院前急救、危急重病症初步诊治与抢救护理。职责还包括急救临床教学、急救医学科研、急救卫生技术人员培训和区域重特大事故现场紧急救援以及大型赛事活动现场医疗保障等工作。</v>
      </c>
    </row>
    <row r="324" spans="1:6">
      <c r="A324">
        <f t="shared" si="15"/>
        <v>8</v>
      </c>
      <c r="B324" t="s">
        <v>795</v>
      </c>
      <c r="C324" t="s">
        <v>1365</v>
      </c>
      <c r="D324">
        <f t="shared" si="16"/>
        <v>271</v>
      </c>
      <c r="E324">
        <f>_xlfn.XLOOKUP(A324,长度要求!A:A,长度要求!D:D)</f>
        <v>200</v>
      </c>
      <c r="F324"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25" spans="1:6">
      <c r="A325">
        <f t="shared" si="15"/>
        <v>3</v>
      </c>
      <c r="B325" t="s">
        <v>441</v>
      </c>
      <c r="C325" t="s">
        <v>1332</v>
      </c>
      <c r="D325">
        <f t="shared" si="16"/>
        <v>625</v>
      </c>
      <c r="E325">
        <f>_xlfn.XLOOKUP(A325,长度要求!A:A,长度要求!D:D)</f>
        <v>200</v>
      </c>
      <c r="F325" t="str">
        <f t="shared" si="17"/>
        <v>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v>
      </c>
    </row>
    <row r="326" spans="1:6">
      <c r="A326">
        <f t="shared" si="15"/>
        <v>3</v>
      </c>
      <c r="B326" t="s">
        <v>441</v>
      </c>
      <c r="C326" t="s">
        <v>1332</v>
      </c>
      <c r="D326">
        <f t="shared" si="16"/>
        <v>625</v>
      </c>
      <c r="E326">
        <f>_xlfn.XLOOKUP(A326,长度要求!A:A,长度要求!D:D)</f>
        <v>200</v>
      </c>
      <c r="F326" t="str">
        <f t="shared" si="17"/>
        <v>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v>
      </c>
    </row>
    <row r="327" spans="1:6">
      <c r="A327">
        <f t="shared" si="15"/>
        <v>7</v>
      </c>
      <c r="B327" t="s">
        <v>1054</v>
      </c>
      <c r="C327" t="s">
        <v>1379</v>
      </c>
      <c r="D327">
        <f t="shared" si="16"/>
        <v>459</v>
      </c>
      <c r="E327">
        <f>_xlfn.XLOOKUP(A327,长度要求!A:A,长度要求!D:D)</f>
        <v>200</v>
      </c>
      <c r="F327"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28" spans="1:6">
      <c r="A328">
        <f t="shared" si="15"/>
        <v>7</v>
      </c>
      <c r="B328" t="s">
        <v>1054</v>
      </c>
      <c r="C328" t="s">
        <v>1379</v>
      </c>
      <c r="D328">
        <f t="shared" si="16"/>
        <v>459</v>
      </c>
      <c r="E328">
        <f>_xlfn.XLOOKUP(A328,长度要求!A:A,长度要求!D:D)</f>
        <v>200</v>
      </c>
      <c r="F328"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29" spans="1:6">
      <c r="A329">
        <f t="shared" si="15"/>
        <v>7</v>
      </c>
      <c r="B329" t="s">
        <v>1054</v>
      </c>
      <c r="C329" t="s">
        <v>1379</v>
      </c>
      <c r="D329">
        <f t="shared" si="16"/>
        <v>459</v>
      </c>
      <c r="E329">
        <f>_xlfn.XLOOKUP(A329,长度要求!A:A,长度要求!D:D)</f>
        <v>200</v>
      </c>
      <c r="F329"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30" spans="1:6">
      <c r="A330">
        <f t="shared" si="15"/>
        <v>3</v>
      </c>
      <c r="B330" t="s">
        <v>977</v>
      </c>
      <c r="C330" t="s">
        <v>978</v>
      </c>
      <c r="D330">
        <f t="shared" si="16"/>
        <v>162</v>
      </c>
      <c r="E330">
        <f>_xlfn.XLOOKUP(A330,长度要求!A:A,长度要求!D:D)</f>
        <v>200</v>
      </c>
      <c r="F330" t="str">
        <f t="shared" si="17"/>
        <v>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v>
      </c>
    </row>
    <row r="331" spans="1:6">
      <c r="A331">
        <f t="shared" si="15"/>
        <v>3</v>
      </c>
      <c r="B331" t="s">
        <v>977</v>
      </c>
      <c r="C331" t="s">
        <v>978</v>
      </c>
      <c r="D331">
        <f t="shared" si="16"/>
        <v>162</v>
      </c>
      <c r="E331">
        <f>_xlfn.XLOOKUP(A331,长度要求!A:A,长度要求!D:D)</f>
        <v>200</v>
      </c>
      <c r="F331" t="str">
        <f t="shared" si="17"/>
        <v>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v>
      </c>
    </row>
    <row r="332" spans="1:6">
      <c r="A332">
        <f t="shared" si="15"/>
        <v>8</v>
      </c>
      <c r="B332" t="s">
        <v>795</v>
      </c>
      <c r="C332" t="s">
        <v>1365</v>
      </c>
      <c r="D332">
        <f t="shared" si="16"/>
        <v>271</v>
      </c>
      <c r="E332">
        <f>_xlfn.XLOOKUP(A332,长度要求!A:A,长度要求!D:D)</f>
        <v>200</v>
      </c>
      <c r="F332"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33" spans="1:6">
      <c r="A333">
        <f t="shared" si="15"/>
        <v>8</v>
      </c>
      <c r="B333" t="s">
        <v>1080</v>
      </c>
      <c r="C333" t="s">
        <v>1380</v>
      </c>
      <c r="D333">
        <f t="shared" si="16"/>
        <v>211</v>
      </c>
      <c r="E333">
        <f>_xlfn.XLOOKUP(A333,长度要求!A:A,长度要求!D:D)</f>
        <v>200</v>
      </c>
      <c r="F333"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34" spans="1:6">
      <c r="A334">
        <f t="shared" si="15"/>
        <v>8</v>
      </c>
      <c r="B334" t="s">
        <v>1080</v>
      </c>
      <c r="C334" t="s">
        <v>1380</v>
      </c>
      <c r="D334">
        <f t="shared" si="16"/>
        <v>211</v>
      </c>
      <c r="E334">
        <f>_xlfn.XLOOKUP(A334,长度要求!A:A,长度要求!D:D)</f>
        <v>200</v>
      </c>
      <c r="F334"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35" spans="1:6">
      <c r="A335">
        <f t="shared" si="15"/>
        <v>6</v>
      </c>
      <c r="B335" t="s">
        <v>318</v>
      </c>
      <c r="C335" t="s">
        <v>1320</v>
      </c>
      <c r="D335">
        <f t="shared" si="16"/>
        <v>248</v>
      </c>
      <c r="E335">
        <f>_xlfn.XLOOKUP(A335,长度要求!A:A,长度要求!D:D)</f>
        <v>200</v>
      </c>
      <c r="F335" t="str">
        <f t="shared" si="17"/>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336" spans="1:6">
      <c r="A336">
        <f t="shared" si="15"/>
        <v>8</v>
      </c>
      <c r="B336" t="s">
        <v>1080</v>
      </c>
      <c r="C336" t="s">
        <v>1380</v>
      </c>
      <c r="D336">
        <f t="shared" si="16"/>
        <v>211</v>
      </c>
      <c r="E336">
        <f>_xlfn.XLOOKUP(A336,长度要求!A:A,长度要求!D:D)</f>
        <v>200</v>
      </c>
      <c r="F336"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37" spans="1:6">
      <c r="A337">
        <f t="shared" si="15"/>
        <v>8</v>
      </c>
      <c r="B337" t="s">
        <v>795</v>
      </c>
      <c r="C337" t="s">
        <v>1365</v>
      </c>
      <c r="D337">
        <f t="shared" si="16"/>
        <v>271</v>
      </c>
      <c r="E337">
        <f>_xlfn.XLOOKUP(A337,长度要求!A:A,长度要求!D:D)</f>
        <v>200</v>
      </c>
      <c r="F337"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38" spans="1:6">
      <c r="A338">
        <f t="shared" si="15"/>
        <v>8</v>
      </c>
      <c r="B338" t="s">
        <v>1080</v>
      </c>
      <c r="C338" t="s">
        <v>1380</v>
      </c>
      <c r="D338">
        <f t="shared" si="16"/>
        <v>211</v>
      </c>
      <c r="E338">
        <f>_xlfn.XLOOKUP(A338,长度要求!A:A,长度要求!D:D)</f>
        <v>200</v>
      </c>
      <c r="F338"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39" spans="1:6">
      <c r="A339">
        <f t="shared" si="15"/>
        <v>2</v>
      </c>
      <c r="B339" t="s">
        <v>474</v>
      </c>
      <c r="C339" t="s">
        <v>1337</v>
      </c>
      <c r="D339">
        <f t="shared" si="16"/>
        <v>499</v>
      </c>
      <c r="E339">
        <f>_xlfn.XLOOKUP(A339,长度要求!A:A,长度要求!D:D)</f>
        <v>200</v>
      </c>
      <c r="F339" t="str">
        <f t="shared" si="17"/>
        <v>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v>
      </c>
    </row>
    <row r="340" spans="1:6">
      <c r="A340">
        <f t="shared" si="15"/>
        <v>8</v>
      </c>
      <c r="B340" t="s">
        <v>1080</v>
      </c>
      <c r="C340" t="s">
        <v>1380</v>
      </c>
      <c r="D340">
        <f t="shared" si="16"/>
        <v>211</v>
      </c>
      <c r="E340">
        <f>_xlfn.XLOOKUP(A340,长度要求!A:A,长度要求!D:D)</f>
        <v>200</v>
      </c>
      <c r="F340"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41" spans="1:6">
      <c r="A341">
        <f t="shared" si="15"/>
        <v>8</v>
      </c>
      <c r="B341" t="s">
        <v>1080</v>
      </c>
      <c r="C341" t="s">
        <v>1380</v>
      </c>
      <c r="D341">
        <f t="shared" si="16"/>
        <v>211</v>
      </c>
      <c r="E341">
        <f>_xlfn.XLOOKUP(A341,长度要求!A:A,长度要求!D:D)</f>
        <v>200</v>
      </c>
      <c r="F341"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42" spans="1:6">
      <c r="A342">
        <f t="shared" si="15"/>
        <v>8</v>
      </c>
      <c r="B342" t="s">
        <v>1080</v>
      </c>
      <c r="C342" t="s">
        <v>1380</v>
      </c>
      <c r="D342">
        <f t="shared" si="16"/>
        <v>211</v>
      </c>
      <c r="E342">
        <f>_xlfn.XLOOKUP(A342,长度要求!A:A,长度要求!D:D)</f>
        <v>200</v>
      </c>
      <c r="F342"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43" spans="1:6">
      <c r="A343">
        <f t="shared" si="15"/>
        <v>8</v>
      </c>
      <c r="B343" t="s">
        <v>1080</v>
      </c>
      <c r="C343" t="s">
        <v>1380</v>
      </c>
      <c r="D343">
        <f t="shared" si="16"/>
        <v>211</v>
      </c>
      <c r="E343">
        <f>_xlfn.XLOOKUP(A343,长度要求!A:A,长度要求!D:D)</f>
        <v>200</v>
      </c>
      <c r="F343" t="str">
        <f t="shared" si="17"/>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row>
    <row r="344" spans="1:6">
      <c r="A344">
        <f t="shared" si="15"/>
        <v>4</v>
      </c>
      <c r="B344" t="s">
        <v>312</v>
      </c>
      <c r="C344" t="s">
        <v>1319</v>
      </c>
      <c r="D344">
        <f t="shared" si="16"/>
        <v>266</v>
      </c>
      <c r="E344">
        <f>_xlfn.XLOOKUP(A344,长度要求!A:A,长度要求!D:D)</f>
        <v>200</v>
      </c>
      <c r="F344" t="str">
        <f t="shared" si="17"/>
        <v>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v>
      </c>
    </row>
    <row r="345" spans="1:6">
      <c r="A345">
        <f t="shared" si="15"/>
        <v>2</v>
      </c>
      <c r="B345" t="s">
        <v>347</v>
      </c>
      <c r="C345" t="s">
        <v>1322</v>
      </c>
      <c r="D345">
        <f t="shared" si="16"/>
        <v>216</v>
      </c>
      <c r="E345">
        <f>_xlfn.XLOOKUP(A345,长度要求!A:A,长度要求!D:D)</f>
        <v>200</v>
      </c>
      <c r="F345" t="str">
        <f t="shared" si="17"/>
        <v>       上海上勤高级楼宇管理有限公司，隶属于上海市机关事务管理局委托管理的国有独资企业，一直从事市人大和市政府等机关后勤服务保障工作。
       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v>
      </c>
    </row>
    <row r="346" spans="1:6">
      <c r="A346">
        <f t="shared" si="15"/>
        <v>8</v>
      </c>
      <c r="B346" t="s">
        <v>450</v>
      </c>
      <c r="C346" t="s">
        <v>1334</v>
      </c>
      <c r="D346">
        <f t="shared" si="16"/>
        <v>1368</v>
      </c>
      <c r="E346">
        <f>_xlfn.XLOOKUP(A346,长度要求!A:A,长度要求!D:D)</f>
        <v>200</v>
      </c>
      <c r="F346" t="str">
        <f t="shared" si="17"/>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row>
    <row r="347" spans="1:6">
      <c r="A347">
        <f t="shared" si="15"/>
        <v>8</v>
      </c>
      <c r="B347" t="s">
        <v>614</v>
      </c>
      <c r="C347" t="s">
        <v>1353</v>
      </c>
      <c r="D347">
        <f t="shared" si="16"/>
        <v>358</v>
      </c>
      <c r="E347">
        <f>_xlfn.XLOOKUP(A347,长度要求!A:A,长度要求!D:D)</f>
        <v>200</v>
      </c>
      <c r="F347" t="str">
        <f t="shared" si="17"/>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348" spans="1:6">
      <c r="A348">
        <f t="shared" si="15"/>
        <v>7</v>
      </c>
      <c r="B348" t="s">
        <v>1054</v>
      </c>
      <c r="C348" t="s">
        <v>1379</v>
      </c>
      <c r="D348">
        <f t="shared" si="16"/>
        <v>459</v>
      </c>
      <c r="E348">
        <f>_xlfn.XLOOKUP(A348,长度要求!A:A,长度要求!D:D)</f>
        <v>200</v>
      </c>
      <c r="F348"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49" spans="1:6">
      <c r="A349">
        <f t="shared" si="15"/>
        <v>3</v>
      </c>
      <c r="B349" t="s">
        <v>109</v>
      </c>
      <c r="C349" t="s">
        <v>1301</v>
      </c>
      <c r="D349">
        <f t="shared" si="16"/>
        <v>394</v>
      </c>
      <c r="E349">
        <f>_xlfn.XLOOKUP(A349,长度要求!A:A,长度要求!D:D)</f>
        <v>200</v>
      </c>
      <c r="F349" t="str">
        <f t="shared" si="17"/>
        <v>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
在公众物业管理领域，明华在上海乃至国内……</v>
      </c>
    </row>
    <row r="350" spans="1:6">
      <c r="A350">
        <f t="shared" si="15"/>
        <v>7</v>
      </c>
      <c r="B350" t="s">
        <v>1054</v>
      </c>
      <c r="C350" t="s">
        <v>1379</v>
      </c>
      <c r="D350">
        <f t="shared" si="16"/>
        <v>459</v>
      </c>
      <c r="E350">
        <f>_xlfn.XLOOKUP(A350,长度要求!A:A,长度要求!D:D)</f>
        <v>200</v>
      </c>
      <c r="F350"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51" spans="1:6">
      <c r="A351">
        <f t="shared" si="15"/>
        <v>7</v>
      </c>
      <c r="B351" t="s">
        <v>1054</v>
      </c>
      <c r="C351" t="s">
        <v>1379</v>
      </c>
      <c r="D351">
        <f t="shared" si="16"/>
        <v>459</v>
      </c>
      <c r="E351">
        <f>_xlfn.XLOOKUP(A351,长度要求!A:A,长度要求!D:D)</f>
        <v>200</v>
      </c>
      <c r="F351" t="str">
        <f t="shared" si="17"/>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row>
    <row r="352" spans="1:6">
      <c r="A352">
        <f t="shared" si="15"/>
        <v>2</v>
      </c>
      <c r="B352" t="s">
        <v>553</v>
      </c>
      <c r="C352" t="s">
        <v>1344</v>
      </c>
      <c r="D352">
        <f t="shared" si="16"/>
        <v>180</v>
      </c>
      <c r="E352">
        <f>_xlfn.XLOOKUP(A352,长度要求!A:A,长度要求!D:D)</f>
        <v>200</v>
      </c>
      <c r="F352" t="str">
        <f t="shared" si="17"/>
        <v>上海市闵行区中福会浦江幼儿园是一所闵行区公办幼儿园。中福会浦江幼儿园秉承宋庆龄女士“ 把最宝贵的东西给予儿童 ”的教学方针，积极探索，从人与社会、自我、自然三个维度出发，以“关爱心、自由性、文化情”核心素养为基础，创设安全、多元、丰富，且具有挑战意义的真实情境，培养有爱心、善交往、愿接纳、能适应、乐生活、享自主、会学习、喜探索、勇挑战的儿童，为终身发展奠基。</v>
      </c>
    </row>
    <row r="353" spans="1:6">
      <c r="A353">
        <f t="shared" si="15"/>
        <v>8</v>
      </c>
      <c r="B353" t="s">
        <v>795</v>
      </c>
      <c r="C353" t="s">
        <v>1365</v>
      </c>
      <c r="D353">
        <f t="shared" si="16"/>
        <v>271</v>
      </c>
      <c r="E353">
        <f>_xlfn.XLOOKUP(A353,长度要求!A:A,长度要求!D:D)</f>
        <v>200</v>
      </c>
      <c r="F353"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54" spans="1:6">
      <c r="A354">
        <f t="shared" si="15"/>
        <v>5</v>
      </c>
      <c r="B354" t="s">
        <v>63</v>
      </c>
      <c r="C354" t="s">
        <v>1297</v>
      </c>
      <c r="D354">
        <f t="shared" si="16"/>
        <v>444</v>
      </c>
      <c r="E354">
        <f>_xlfn.XLOOKUP(A354,长度要求!A:A,长度要求!D:D)</f>
        <v>200</v>
      </c>
      <c r="F354" t="str">
        <f t="shared" si="17"/>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row>
    <row r="355" spans="1:6">
      <c r="A355">
        <f t="shared" si="15"/>
        <v>7</v>
      </c>
      <c r="B355" t="s">
        <v>647</v>
      </c>
      <c r="C355" t="s">
        <v>1354</v>
      </c>
      <c r="D355">
        <f t="shared" si="16"/>
        <v>208</v>
      </c>
      <c r="E355">
        <f>_xlfn.XLOOKUP(A355,长度要求!A:A,长度要求!D:D)</f>
        <v>200</v>
      </c>
      <c r="F355" t="str">
        <f t="shared" si="17"/>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row>
    <row r="356" spans="1:6">
      <c r="A356">
        <f t="shared" si="15"/>
        <v>8</v>
      </c>
      <c r="B356" t="s">
        <v>717</v>
      </c>
      <c r="C356" t="s">
        <v>1358</v>
      </c>
      <c r="D356">
        <f t="shared" si="16"/>
        <v>519</v>
      </c>
      <c r="E356">
        <f>_xlfn.XLOOKUP(A356,长度要求!A:A,长度要求!D:D)</f>
        <v>200</v>
      </c>
      <c r="F356" t="str">
        <f t="shared" si="17"/>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357" spans="1:6">
      <c r="A357">
        <f t="shared" si="15"/>
        <v>6</v>
      </c>
      <c r="B357" t="s">
        <v>318</v>
      </c>
      <c r="C357" t="s">
        <v>1320</v>
      </c>
      <c r="D357">
        <f t="shared" si="16"/>
        <v>248</v>
      </c>
      <c r="E357">
        <f>_xlfn.XLOOKUP(A357,长度要求!A:A,长度要求!D:D)</f>
        <v>200</v>
      </c>
      <c r="F357" t="str">
        <f t="shared" si="17"/>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row>
    <row r="358" spans="1:6">
      <c r="A358">
        <f t="shared" si="15"/>
        <v>8</v>
      </c>
      <c r="B358" t="s">
        <v>795</v>
      </c>
      <c r="C358" t="s">
        <v>1365</v>
      </c>
      <c r="D358">
        <f t="shared" si="16"/>
        <v>271</v>
      </c>
      <c r="E358">
        <f>_xlfn.XLOOKUP(A358,长度要求!A:A,长度要求!D:D)</f>
        <v>200</v>
      </c>
      <c r="F358"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59" spans="1:6">
      <c r="A359">
        <f t="shared" si="15"/>
        <v>8</v>
      </c>
      <c r="B359" t="s">
        <v>795</v>
      </c>
      <c r="C359" t="s">
        <v>1365</v>
      </c>
      <c r="D359">
        <f t="shared" si="16"/>
        <v>271</v>
      </c>
      <c r="E359">
        <f>_xlfn.XLOOKUP(A359,长度要求!A:A,长度要求!D:D)</f>
        <v>200</v>
      </c>
      <c r="F359"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60" spans="1:6">
      <c r="A360">
        <f t="shared" si="15"/>
        <v>8</v>
      </c>
      <c r="B360" t="s">
        <v>795</v>
      </c>
      <c r="C360" t="s">
        <v>1365</v>
      </c>
      <c r="D360">
        <f t="shared" si="16"/>
        <v>271</v>
      </c>
      <c r="E360">
        <f>_xlfn.XLOOKUP(A360,长度要求!A:A,长度要求!D:D)</f>
        <v>200</v>
      </c>
      <c r="F360" t="str">
        <f t="shared" si="17"/>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row>
    <row r="361" spans="1:6">
      <c r="A361">
        <f t="shared" si="15"/>
        <v>8</v>
      </c>
      <c r="B361" t="s">
        <v>717</v>
      </c>
      <c r="C361" t="s">
        <v>1358</v>
      </c>
      <c r="D361">
        <f t="shared" si="16"/>
        <v>519</v>
      </c>
      <c r="E361">
        <f>_xlfn.XLOOKUP(A361,长度要求!A:A,长度要求!D:D)</f>
        <v>200</v>
      </c>
      <c r="F361" t="str">
        <f t="shared" si="17"/>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row>
    <row r="362" spans="1:6">
      <c r="A362">
        <f t="shared" si="15"/>
        <v>8</v>
      </c>
      <c r="B362" t="s">
        <v>614</v>
      </c>
      <c r="C362" t="s">
        <v>1353</v>
      </c>
      <c r="D362">
        <f t="shared" si="16"/>
        <v>358</v>
      </c>
      <c r="E362">
        <f>_xlfn.XLOOKUP(A362,长度要求!A:A,长度要求!D:D)</f>
        <v>200</v>
      </c>
      <c r="F362" t="str">
        <f t="shared" si="17"/>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row>
    <row r="363" spans="1:6">
      <c r="A363">
        <f t="shared" si="15"/>
        <v>3</v>
      </c>
      <c r="B363" t="s">
        <v>446</v>
      </c>
      <c r="C363" t="s">
        <v>1333</v>
      </c>
      <c r="D363">
        <f t="shared" si="16"/>
        <v>194</v>
      </c>
      <c r="E363">
        <f>_xlfn.XLOOKUP(A363,长度要求!A:A,长度要求!D:D)</f>
        <v>200</v>
      </c>
      <c r="F363" t="str">
        <f t="shared" si="17"/>
        <v>       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topLeftCell="A23" workbookViewId="0">
      <selection activeCell="C33" sqref="C33"/>
    </sheetView>
  </sheetViews>
  <sheetFormatPr defaultColWidth="9" defaultRowHeight="14.5"/>
  <cols>
    <col min="8" max="9" width="9" style="1"/>
  </cols>
  <sheetData>
    <row r="1" spans="1:9">
      <c r="A1" t="s">
        <v>1146</v>
      </c>
      <c r="B1" t="s">
        <v>1147</v>
      </c>
      <c r="C1" t="s">
        <v>1381</v>
      </c>
      <c r="D1" t="s">
        <v>1382</v>
      </c>
      <c r="E1" t="s">
        <v>1383</v>
      </c>
      <c r="F1" t="s">
        <v>1384</v>
      </c>
      <c r="H1" s="1" t="s">
        <v>1382</v>
      </c>
      <c r="I1" s="1" t="s">
        <v>1384</v>
      </c>
    </row>
    <row r="2" spans="1:9">
      <c r="A2" t="str">
        <f>_xlfn.XLOOKUP(C2,展区展位!A:A,展区展位!B:B)</f>
        <v>D教育/传媒/电竞</v>
      </c>
      <c r="B2" t="str">
        <f>_xlfn.XLOOKUP(C2,展区展位!A:A,展区展位!C:C)</f>
        <v>D06</v>
      </c>
      <c r="C2" t="s">
        <v>37</v>
      </c>
      <c r="D2" t="str">
        <f>_xlfn.XLOOKUP(C2,企业简介提取!B:B,企业简介提取!F:F)</f>
        <v>   西凌第一幼儿园是一所上海市示范性幼儿园、上海市文明单位。地处黄浦区西藏南路，园内幼儿活动场地充裕，环境优美，四季绿化常青，阳光充足，是“上海市花园单位”。我园积极探索围棋与游戏融合的探索，秉持“以人为本，民主和谐，快乐发展”办园宗旨和 “以棋养德、以棋怡情、以棋明理、以棋启智”的教育理念，深受幼儿与家长的喜欢。西凌第一幼儿园已成为孩子们游戏、学习、生活的乐园。</v>
      </c>
      <c r="E2" t="str">
        <f>INDEX(_xlfn._xlws.FILTER(报名明细!$I:$I,报名明细!$B:$B=$C2),1)</f>
        <v>保育员（学历：初中及以下 专业要求：学前教育,卫生教育）</v>
      </c>
      <c r="F2" t="str">
        <f>INDEX(_xlfn._xlws.FILTER(报名明细!$L:$L,报名明细!$B:$B=$C2),1)</f>
        <v>具有良好师德，爱孩子，有正确的儿童观具备保育专业知识与技能</v>
      </c>
      <c r="H2" s="1" t="s">
        <v>38</v>
      </c>
      <c r="I2" s="1" t="s">
        <v>40</v>
      </c>
    </row>
    <row r="3" spans="1:9">
      <c r="A3" t="str">
        <f>_xlfn.XLOOKUP(C3,展区展位!A:A,展区展位!B:B)</f>
        <v>E城市运营与技术服务</v>
      </c>
      <c r="B3" t="str">
        <f>_xlfn.XLOOKUP(C3,展区展位!A:A,展区展位!C:C)</f>
        <v>E01</v>
      </c>
      <c r="C3" t="s">
        <v>88</v>
      </c>
      <c r="D3" t="str">
        <f>_xlfn.XLOOKUP(C3,企业简介提取!B:B,企业简介提取!F:F)</f>
        <v>上海世博中心，作为上海市机关事务管理局下属国有企业，同样具备了举办展览、会议、活动以及房屋租赁的功能，与上展中心在浦江两岸形成东西呼应的两座上海标志性建筑。上海世博中心以成为世界级的会议中心为目标。世博会期间，其承担了庆典、交流、贵宾接待、新闻发布和指挥运营等重要任务。世博会后，已转型成为大型高规格国际会议的重要场所，一方面承担政务服务功能，成为上海市“两会”及其他政务性会议的重要举办场所；另一方……</v>
      </c>
      <c r="E3" t="str">
        <f>INDEX(_xlfn._xlws.FILTER(报名明细!$I:$I,报名明细!$B:$B=$C3),1)</f>
        <v>会展接待服务（学历：初中及以下 专业要求：无）</v>
      </c>
      <c r="F3" t="str">
        <f>INDEX(_xlfn._xlws.FILTER(报名明细!$L:$L,报名明细!$B:$B=$C3),1)</f>
        <v>1.女：身高1.65米以上，专业不限；2.品貌端正、无纹身、对工作有责任心，能吃苦耐劳；3.按照客户要求布置好会场，做好会前的准备工作；4.做好会中接待工作，确保会议有序进行；5.本岗位可招收实习生；6.完成上级安排的其他工作。</v>
      </c>
      <c r="H3" s="1" t="s">
        <v>89</v>
      </c>
      <c r="I3" s="1" t="s">
        <v>91</v>
      </c>
    </row>
    <row r="4" spans="1:9">
      <c r="A4" t="str">
        <f>_xlfn.XLOOKUP(C4,展区展位!A:A,展区展位!B:B)</f>
        <v>B互联网/电子/通信</v>
      </c>
      <c r="B4" t="str">
        <f>_xlfn.XLOOKUP(C4,展区展位!A:A,展区展位!C:C)</f>
        <v>B14</v>
      </c>
      <c r="C4" t="s">
        <v>149</v>
      </c>
      <c r="D4" t="str">
        <f>_xlfn.XLOOKUP(C4,企业简介提取!B:B,企业简介提取!F:F)</f>
        <v>上海特金创立于2003年，是国家级高新技术企业、国家级专精特新“小巨人”企业、上海市“专精特
新”企业，20余年深耕无线电感知和频谱大数据分析技术，致力于提供可信赖的低空安全管控解决方案，
在无人机预案、预警、识别、定位、追踪及处置方面处于业界领军地位，是国内将TDOA网格化无人机管控
技术进行产品化和大规模商用的发起者。 
特金拥有一百多项核心知识产权，深度参与国标、行标、团标的标准制定，荣获国……</v>
      </c>
      <c r="E4" t="str">
        <f>INDEX(_xlfn._xlws.FILTER(报名明细!$I:$I,报名明细!$B:$B=$C4),1)</f>
        <v>助理产品工程师（学历：大专 专业要求：无）</v>
      </c>
      <c r="F4" t="str">
        <f>INDEX(_xlfn._xlws.FILTER(报名明细!$L:$L,报名明细!$B:$B=$C4),1)</f>
        <v>岗位职责：1、通过相关培训能够快速适应生产作业，保证每个产品都是按照工艺要求生产；2、经过培训严格按照工艺要求熟练掌握产品组装、调试、测试；3、严格执行上级领导指派的工作任务；4、严格执行生产安全管理制度；5、遵守6S现场规章制度，保持生产线标准化工作环境；6、负责日常设备问题排查维修并输出维修报告。任职资格：1、机械，机电，电子，电气，通讯，无线电专业等工学专业；2、要求大专学历，应届毕业生或实习生；3、掌握基础电路、机械、钳工专业知识，会简单编程，熟练使用办公软件；4、能够接受不定时加班、户外测试，有驾驶证优先；5、有机械证书或者电工证优先；6、为人正直有较强的团队协助精神、勤奋好学、积极向上、有敬业精神，无不良嗜好。7、能尽快上岗者优先。</v>
      </c>
      <c r="H4" s="1" t="s">
        <v>150</v>
      </c>
      <c r="I4" s="1" t="s">
        <v>152</v>
      </c>
    </row>
    <row r="5" spans="1:9">
      <c r="A5" t="str">
        <f>_xlfn.XLOOKUP(C5,展区展位!A:A,展区展位!B:B)</f>
        <v>D教育/传媒/电竞</v>
      </c>
      <c r="B5" t="str">
        <f>_xlfn.XLOOKUP(C5,展区展位!A:A,展区展位!C:C)</f>
        <v>D19</v>
      </c>
      <c r="C5" t="s">
        <v>172</v>
      </c>
      <c r="D5" t="str">
        <f>_xlfn.XLOOKUP(C5,企业简介提取!B:B,企业简介提取!F:F)</f>
        <v>上海积千理网络科技有限公司成立于 2019 年 9 月 23 日，是一家专注游戏直播领域的小微企业，公司位于上海市闵行区禾谷文创园A213号，目前处于开业状态。公司经营范围广泛，涵盖数字文化创意内容应用、互联网数据服务、个人互联网直播服务等。自成立以来，公司凭借专业的团队和创新的理念，在游戏直播领域崭露头角，致力于为观众呈现精彩的游戏直播内容，为游戏爱好者搭建互动交流平台，在竞争激烈的游戏直播市场……</v>
      </c>
      <c r="E5" t="str">
        <f>INDEX(_xlfn._xlws.FILTER(报名明细!$I:$I,报名明细!$B:$B=$C5),1)</f>
        <v>弹幕游戏互动主播（学历：初中及以下 专业要求：无）</v>
      </c>
      <c r="F5" t="str">
        <f>INDEX(_xlfn._xlws.FILTER(报名明细!$L:$L,报名明细!$B:$B=$C5),1)</f>
        <v>年满18岁，接受无经验从业者，新手小白，弹幕游戏就是抖音最新直播间弹幕游戏玩法，直播间可以不露脸露不露脸看自己个人意愿，主要就是烘托直播间PK赛况的气氛，拉动观众互动率，不用会玩游戏，不需要你上手操作，解说游戏赛况实时即可。岗位职责:1.负责直播抖音平台弹幕实时互动类游戏，直播游戏玩法2.正常上手后，开播六小时。配合公司运营下播复盘3.运营团队跟播，每日下播复盘，成熟话术提供，打造专属你个人的弹幕游戏直播间4.不需要你去维护大哥大姐，抖音平台自动分流，对新人流量扶持极大5.无任何培训费用，接受新手小白0经验，能快速上手6.公司提供专业电脑以及声卡设备，老人带播任职要求：1.公司可接受新手小白0经验新人从业者，应届生，在校大学生，有无经验均可，有直播行业从业经验优先考虑。2.零基础操作，无需懂太多游戏操作，只要你敢开口说话，性格外向活泼开朗，善于沟通，情商高。3.无任何形象上的要求，不需要才艺，年龄没有限制，学历没有要求，只需要你情商高会说话，敢说话，胆子大月入过万不再是梦想工作时间：每日工作六小时不加班，不需要一直坐班，稳定后可以自己挑选时间段播可以居家办公，节假日正常放假。薪资待遇：……</v>
      </c>
      <c r="H5" s="1" t="s">
        <v>173</v>
      </c>
      <c r="I5" s="1" t="s">
        <v>1385</v>
      </c>
    </row>
    <row r="6" spans="1:9">
      <c r="A6" t="str">
        <f>_xlfn.XLOOKUP(C6,展区展位!A:A,展区展位!B:B)</f>
        <v>C汽车/服装/贸易</v>
      </c>
      <c r="B6" t="str">
        <f>_xlfn.XLOOKUP(C6,展区展位!A:A,展区展位!C:C)</f>
        <v>C14</v>
      </c>
      <c r="C6" t="s">
        <v>207</v>
      </c>
      <c r="D6" t="str">
        <f>_xlfn.XLOOKUP(C6,企业简介提取!B:B,企业简介提取!F:F)</f>
        <v>公司集国际货物贸易、报关、报检、货物运输代理等一体，主要承办货物的国际贸易代理、海运、空运进出口货物的国际运输及代理业务，是中国海关AEO高级认证企业，是诸多一线国际品牌合作伙伴。</v>
      </c>
      <c r="E6" t="str">
        <f>INDEX(_xlfn._xlws.FILTER(报名明细!$I:$I,报名明细!$B:$B=$C6),1)</f>
        <v>物流单证报关实习生（学历：大专 专业要求：物流管理,报关与国际货运,国际贸易实务）</v>
      </c>
      <c r="F6" t="str">
        <f>INDEX(_xlfn._xlws.FILTER(报名明细!$L:$L,报名明细!$B:$B=$C6),1)</f>
        <v>物流单证报关实习生（浦东机场/双休/早9晚5）岗位职责：1、关务单证的收取、录入、整理、登记等；2、进出口报关输单、制单；3、操作文档的整理归档等；4、完成上级布置的其他任务。岗位要求：1、大专及以上学历，2026年毕业生；2、国际贸易、报关、物流管理专业优先；3、良好的学习能力，沟通能力，性格开朗，主动性强；4、word、excel软件操作熟练；5、家住上海浦东机场或祝桥镇周边地区。实习周期：周一—周五，结业完毕后依据实习期考核，表现优异者，进行正式录用及建立劳动关系；团队介绍：年轻活力的团队，专业资深的导师，舒适明亮的办公室；实习福利：实习160元/天，外加20元/天餐补。地址：浦东新区闻居路1333号A座608室闵行区莲花南路2288号杨浦区大连路688号</v>
      </c>
      <c r="H6" s="1" t="s">
        <v>208</v>
      </c>
      <c r="I6" s="1" t="s">
        <v>210</v>
      </c>
    </row>
    <row r="7" spans="1:9">
      <c r="A7" t="str">
        <f>_xlfn.XLOOKUP(C7,展区展位!A:A,展区展位!B:B)</f>
        <v>B互联网/电子/通信</v>
      </c>
      <c r="B7" t="str">
        <f>_xlfn.XLOOKUP(C7,展区展位!A:A,展区展位!C:C)</f>
        <v>B05</v>
      </c>
      <c r="C7" t="s">
        <v>213</v>
      </c>
      <c r="D7" t="str">
        <f>_xlfn.XLOOKUP(C7,企业简介提取!B:B,企业简介提取!F:F)</f>
        <v>新致软件成立于1994年，总部坐落于上海，在北京、深圳、大连、重庆、成都、贵安、武汉、东京等多地设立了分支机构。新致软件专注于向保险公司、银行等金融机构及电信、汽车、医疗等其他行业终端客户提供IT解决方案、IT运维服务，以及向一级软件承包商提供软件项目分包服务。
上海新致致远智能公司致力于云计算、人工智能产品与解决方案。</v>
      </c>
      <c r="E7" t="str">
        <f>INDEX(_xlfn._xlws.FILTER(报名明细!$I:$I,报名明细!$B:$B=$C7),1)</f>
        <v>云计算与AI算力运维工程师（学历：大专 专业要求：云计算技术与应用,人工智能技术服务）</v>
      </c>
      <c r="F7" t="str">
        <f>INDEX(_xlfn._xlws.FILTER(报名明细!$L:$L,报名明细!$B:$B=$C7),1)</f>
        <v>1.云架构设计与实施：参与设计高可用、高并发、可扩展的云基础架构方案（主要为IOT相关系统），参与人工智能算力架构设计，并负责将其落地实施。2.云计算与人工智能算力资源管理：管理和维护公司在公有云（如AWS、华为云、阿里云等）上的计算、存储、网络和安全资源。3.运维与监控：建立和完善监控、告警和日志系统，确保云上应用的稳定运行，并能快速定位并给出长期解决方案；对于中间件设定参数的确认，是否合理或者根据相关指标能及时调整。4.成本优化：监控和分析云资源使用情况，提出并实施成本优化方案，控制云支出。5.安全与合规：实施云安全最佳实践，负责网络访问控制、安全组策略、数据加密等，确保基础设施符合安全与合规要求。</v>
      </c>
      <c r="H7" s="1" t="s">
        <v>214</v>
      </c>
      <c r="I7" s="1" t="s">
        <v>216</v>
      </c>
    </row>
    <row r="8" spans="1:9">
      <c r="A8" t="str">
        <f>_xlfn.XLOOKUP(C8,展区展位!A:A,展区展位!B:B)</f>
        <v>B互联网/电子/通信</v>
      </c>
      <c r="B8" t="str">
        <f>_xlfn.XLOOKUP(C8,展区展位!A:A,展区展位!C:C)</f>
        <v>B12</v>
      </c>
      <c r="C8" t="s">
        <v>225</v>
      </c>
      <c r="D8" t="str">
        <f>_xlfn.XLOOKUP(C8,企业简介提取!B:B,企业简介提取!F:F)</f>
        <v>    上海率震档案信息技术有限公司是一家专业为律师、律所、政法机关等提供现代化档案信息服务的科技型公司。现主营业务为档案软件开发，档案5A数字化建设、档案大规模扫描服务、文档追溯管理、档案图像识别、图像优化、档案寄存等。
     2024年3月1日，《中华人民共和国档案法实施条例》正式施行。相较于此前的《档案法实施办法》，本次施行的《中华人民共和国档案法实施条例》无论是条款数量还是具体内容都有……</v>
      </c>
      <c r="E8" t="str">
        <f>INDEX(_xlfn._xlws.FILTER(报名明细!$I:$I,报名明细!$B:$B=$C8),1)</f>
        <v>档案信息采集员（学历：大专 专业要求：档案学,图书档案管理）</v>
      </c>
      <c r="F8" t="str">
        <f>INDEX(_xlfn._xlws.FILTER(报名明细!$L:$L,报名明细!$B:$B=$C8),1)</f>
        <v>岗位名称及职责：整理员：将单位档案资料整理清楚，页码连贯、目录对应。扫描员：将单位档案资料通过扫描仪进行扫描处理，形成电子格式文档。质检员：检查扫描图像是否合格，并加以更正修改。录入员：将单位档案的封面信息、当事人信息、目录信息通过录入软件输入系统内。装订员：将数字化处理完的档案进行三孔一线的装订。岗位要求：1、大专及以上学历，专业不限；2、扫描员、质检员、录入员必须懂得电脑基本操作，熟练掌握OFFICE等办公软件。年龄18~35周岁，男女不限。扫描员要求动作迅速麻利，质检员要求认真仔细，录入员要求打字速度较快，五笔拼音皆可。整理员、装订员无需使用电脑，要求认真仔细，吃苦耐劳。3、入职需签署保密协议、提供无犯罪记录证明。4、着装得体，遵守单位和公司纪律。</v>
      </c>
      <c r="H8" s="1" t="s">
        <v>226</v>
      </c>
      <c r="I8" s="1" t="s">
        <v>228</v>
      </c>
    </row>
    <row r="9" spans="1:9">
      <c r="A9" t="str">
        <f>_xlfn.XLOOKUP(C9,展区展位!A:A,展区展位!B:B)</f>
        <v>F综合</v>
      </c>
      <c r="B9" t="str">
        <f>_xlfn.XLOOKUP(C9,展区展位!A:A,展区展位!C:C)</f>
        <v>F01</v>
      </c>
      <c r="C9" t="s">
        <v>230</v>
      </c>
      <c r="D9" t="str">
        <f>_xlfn.XLOOKUP(C9,企业简介提取!B:B,企业简介提取!F:F)</f>
        <v>上海久事公共交通集团有限公司是沪上大型城市公共交通国有企业。久事公交下属企业分为公交企业板块、保障类企业板块，及综合类企业板块。其中公交运营板块，主要负责上海浦西中心城区的公交运营以及相关车辆维修保障等工作。该板块由五家公交营运公司组成（上海巴士第一公共交通有限公司、上海巴士第二公共交通有限公司、上海巴士第三公共交通有限公司、上海巴士第四公共交通有限公司、上海巴士第五公共交通有限公司）久事公交共有……</v>
      </c>
      <c r="E9" t="str">
        <f>INDEX(_xlfn._xlws.FILTER(报名明细!$I:$I,报名明细!$B:$B=$C9),1)</f>
        <v>公交车定向培训驾驶员（学历：大专 专业要求：交通运输类）</v>
      </c>
      <c r="F9" t="str">
        <f>INDEX(_xlfn._xlws.FILTER(报名明细!$L:$L,报名明细!$B:$B=$C9),1)</f>
        <v>1、具有本市户籍的，大专或以上应届毕业生。2、无不良社会记录，如拘留、劳改、判刑、吸毒史等。3、身体健康，有良好的反应能力及沟通能力。4、经用人单位面试、政审、体检合格后，签订“三方”（企业、驾校、个人）培训协议书（自费26000元），参加企业驾驶员定向培训。作为城市的名片及服务的窗口，公交车驾驶员需以热情饱满的精神面貌，良好的服务素养，独立担任线路车辆的营运，根据相关规定的线路与班式，保障公众出行的安全与便利。安全驾驶，维护公交车辆的车貌与车况，为广大乘客提供优质的服务。</v>
      </c>
      <c r="H9" s="1" t="s">
        <v>231</v>
      </c>
      <c r="I9" s="1" t="s">
        <v>233</v>
      </c>
    </row>
    <row r="10" spans="1:9">
      <c r="A10" t="str">
        <f>_xlfn.XLOOKUP(C10,展区展位!A:A,展区展位!B:B)</f>
        <v>F综合</v>
      </c>
      <c r="B10" t="str">
        <f>_xlfn.XLOOKUP(C10,展区展位!A:A,展区展位!C:C)</f>
        <v>F07</v>
      </c>
      <c r="C10" t="s">
        <v>257</v>
      </c>
      <c r="D10" t="str">
        <f>_xlfn.XLOOKUP(C10,企业简介提取!B:B,企业简介提取!F:F)</f>
        <v>在上海市中心坐拥5家分店，主营品牌苗方清颜，主打祛痘及问题肌肤管理。开业14年以来，累计会员3000名以上。因为拓店需求，现招聘10名有工作经验的高级美容师及美容学徒，欢迎有志之士的加入。</v>
      </c>
      <c r="E10" t="str">
        <f>INDEX(_xlfn._xlws.FILTER(报名明细!$I:$I,报名明细!$B:$B=$C10),1)</f>
        <v>美容师（学历：大专 专业要求：无）</v>
      </c>
      <c r="F10" t="str">
        <f>INDEX(_xlfn._xlws.FILTER(报名明细!$L:$L,报名明细!$B:$B=$C10),1)</f>
        <v>工作职责：1、为顾客提供皮肤护理、美容服务；2、安装美容仪器要求、程序、性能进行美容护理操作；3、保持工作环境的干净整洁；4、学习产品知识和专业技术，不断提高自身职业素质和技能。任职要求：1、形象好、气质佳，在20-40岁之间；2、有一年以上美容、仪器操作经验。有针清祛痘经验的优先3、沟通理解能力强、技术手法好，有服务意识；4、具有亲和力和团队精神，有上进心5、销售能力强的优先考虑薪资福利：1、试用期有保底工资2、转正后工资底薪+提成+奖金，具体详谈，薪资优厚，阶段性考核通过底薪提高3、提供宿舍4、完整的晋升通道：美容师-资深美容师-美容顾问-储备店长-店长5、带薪年假，生日福利，各种额外福利6、试用期过了享受员工福利价购买公司产品，以及免费做脱毛清洁等基础护理项目</v>
      </c>
      <c r="H10" s="1" t="s">
        <v>258</v>
      </c>
      <c r="I10" s="1" t="s">
        <v>260</v>
      </c>
    </row>
    <row r="11" spans="1:9">
      <c r="A11" t="str">
        <f>_xlfn.XLOOKUP(C11,展区展位!A:A,展区展位!B:B)</f>
        <v>E城市运营与技术服务</v>
      </c>
      <c r="B11" t="str">
        <f>_xlfn.XLOOKUP(C11,展区展位!A:A,展区展位!C:C)</f>
        <v>E19</v>
      </c>
      <c r="C11" t="s">
        <v>307</v>
      </c>
      <c r="D11" t="str">
        <f>_xlfn.XLOOKUP(C11,企业简介提取!B:B,企业简介提取!F:F)</f>
        <v>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
项目地点遍及上海、北京、天津、南京、成都、西安、银川、无锡、南昌、合肥、马鞍山、蚌埠、芜湖、武汉、大同，以及美国旧金山等……</v>
      </c>
      <c r="E11" t="str">
        <f>INDEX(_xlfn._xlws.FILTER(报名明细!$I:$I,报名明细!$B:$B=$C11),1)</f>
        <v>设计助理（学历：大专 专业要求：建筑室内设计）</v>
      </c>
      <c r="F11" t="str">
        <f>INDEX(_xlfn._xlws.FILTER(报名明细!$L:$L,报名明细!$B:$B=$C11),1)</f>
        <v>1、艺术设计类相关专业，具有深厚的美术功底，有较强的艺术修养；2、掌握CAD、Coreldraw、Photoshop、SketchUp等设计软件；3、具备独特的设计理念，思维开阔、善于创意，具备丰富的空间想象力及创新能力，熟知商业美陈设计、商业空间设计、展览、展示设计及工艺结构和运作流程，能独立完成各种设计方案和施工图的制作；</v>
      </c>
      <c r="H11" s="1" t="s">
        <v>1386</v>
      </c>
      <c r="I11" s="1" t="s">
        <v>310</v>
      </c>
    </row>
    <row r="12" spans="1:9">
      <c r="A12" t="str">
        <f>_xlfn.XLOOKUP(C12,展区展位!A:A,展区展位!B:B)</f>
        <v>B互联网/电子/通信</v>
      </c>
      <c r="B12" t="str">
        <f>_xlfn.XLOOKUP(C12,展区展位!A:A,展区展位!C:C)</f>
        <v>B03</v>
      </c>
      <c r="C12" t="s">
        <v>336</v>
      </c>
      <c r="D12" t="str">
        <f>_xlfn.XLOOKUP(C12,企业简介提取!B:B,企业简介提取!F:F)</f>
        <v>中移铁通为中国移动下属专业子公司，公司定位为“属地装维营销专业化支撑者”和“数智工程服务市场化拓展者”，重点聚焦家庭宽带安装维护、政企客户项目交付、DICT系统集成和工程项目建设维护等业务。</v>
      </c>
      <c r="E12" t="str">
        <f>INDEX(_xlfn._xlws.FILTER(报名明细!$I:$I,报名明细!$B:$B=$C12),1)</f>
        <v>爱家工程师（学历：大专 专业要求：无）</v>
      </c>
      <c r="F12" t="str">
        <f>INDEX(_xlfn._xlws.FILTER(报名明细!$L:$L,报名明细!$B:$B=$C12),1)</f>
        <v>宽带、互联网电视、智能家居产品的安装调试，用户故障处理，移动业务随销等。</v>
      </c>
      <c r="H12" s="1" t="s">
        <v>337</v>
      </c>
      <c r="I12" s="1" t="s">
        <v>339</v>
      </c>
    </row>
    <row r="13" spans="1:9">
      <c r="A13" t="str">
        <f>_xlfn.XLOOKUP(C13,展区展位!A:A,展区展位!B:B)</f>
        <v>C汽车/服装/贸易</v>
      </c>
      <c r="B13" t="str">
        <f>_xlfn.XLOOKUP(C13,展区展位!A:A,展区展位!C:C)</f>
        <v>C03</v>
      </c>
      <c r="C13" t="s">
        <v>351</v>
      </c>
      <c r="D13" t="str">
        <f>_xlfn.XLOOKUP(C13,企业简介提取!B:B,企业简介提取!F:F)</f>
        <v>上海世界联合服装有限公司 隶属ICCF之禾卡纷集团。
ICCF之禾卡纷集团是着重于可持续发展的全业务连高端时尚集团，致力于为世界提供基于优质原料的环境友好时装。
集团旗下目前的主要业务板块，包含中国品牌ICICLE之禾，法国品牌CARVEN卡纷，时装制造中心以及物流中心，从原料采购、产品开发、制造、销售和消费者体验的全业务连视角，寻求品牌发展与环境、社会的和谐共生。
我们的团队年轻有活力，乐……</v>
      </c>
      <c r="E13" t="str">
        <f>INDEX(_xlfn._xlws.FILTER(报名明细!$I:$I,报名明细!$B:$B=$C13),1)</f>
        <v>生产培训生（毛衫方向）（学历：大专 专业要求：服装设计与工程,针织技术与针织服装,服装与服饰设计,服装设计与工艺,服装设计与工艺教育）</v>
      </c>
      <c r="F13" t="str">
        <f>INDEX(_xlfn._xlws.FILTER(报名明细!$L:$L,报名明细!$B:$B=$C13),1)</f>
        <v>招聘岗位：生产培训生（毛衫方向）培养方向：生产管理招聘人数：4人工作地点：上海市闵行区绿春路189号薪资：6000-8000元/月任职要求：1.专科及以上学历，服装相关专业（针织专业优先考虑）；2.应届毕业生或毕业三年以内；3.善于沟通表达；4.逻辑思维能力强，有进取心，职业发展规划清晰；5.热爱服装行业，愿意扎根工厂，热爱制造福利：包吃包住、带薪年假、节日福利、定期体检、六险一金（包含补充商业医疗保险）、交通补贴、团建活动。联系人：人事行政部</v>
      </c>
      <c r="H13" s="1" t="s">
        <v>352</v>
      </c>
      <c r="I13" s="1" t="s">
        <v>354</v>
      </c>
    </row>
    <row r="14" spans="1:9">
      <c r="A14" t="str">
        <f>_xlfn.XLOOKUP(C14,展区展位!A:A,展区展位!B:B)</f>
        <v>D教育/传媒/电竞</v>
      </c>
      <c r="B14" t="str">
        <f>_xlfn.XLOOKUP(C14,展区展位!A:A,展区展位!C:C)</f>
        <v>D09</v>
      </c>
      <c r="C14" t="s">
        <v>356</v>
      </c>
      <c r="D14" t="str">
        <f>_xlfn.XLOOKUP(C14,企业简介提取!B:B,企业简介提取!F:F)</f>
        <v>闵行区吴泾第二幼儿园位于闵行区吴泾地区的黄浦江边，创办于1992年，是一所公办幼儿园，园所占地面积为3208平方米，建筑面积1237平方米。绿化面积948平方米。园训：博学之本 启蒙之所 办园理念：伴着幼儿健康幸福地成长 幼儿发展目标：习惯良好 好奇探究 文明乐群 勇敢自信 健康快乐。</v>
      </c>
      <c r="E14" t="str">
        <f>INDEX(_xlfn._xlws.FILTER(报名明细!$I:$I,报名明细!$B:$B=$C14),1)</f>
        <v>教师（学历：本科 专业要求：学前教育）</v>
      </c>
      <c r="F14" t="str">
        <f>INDEX(_xlfn._xlws.FILTER(报名明细!$L:$L,报名明细!$B:$B=$C14),1)</f>
        <v>学前教育专业，本科，有幼儿园教师资格证，身体健康，对待工作有责任心有爱心，有良好的团队合作精神。</v>
      </c>
      <c r="H14" s="1" t="s">
        <v>357</v>
      </c>
      <c r="I14" s="1" t="s">
        <v>359</v>
      </c>
    </row>
    <row r="15" spans="1:9">
      <c r="A15" t="str">
        <f>_xlfn.XLOOKUP(C15,展区展位!A:A,展区展位!B:B)</f>
        <v>E城市运营与技术服务</v>
      </c>
      <c r="B15" t="str">
        <f>_xlfn.XLOOKUP(C15,展区展位!A:A,展区展位!C:C)</f>
        <v>E14</v>
      </c>
      <c r="C15" t="s">
        <v>361</v>
      </c>
      <c r="D15" t="str">
        <f>_xlfn.XLOOKUP(C15,企业简介提取!B:B,企业简介提取!F:F)</f>
        <v>上海圆外物业集团有限公司于2004年2月经国家工商行政管理局批准成立，注册资金500万。公司目前管理的物业面积有400余万平方米,包括：高层住宅、多层住宅、别墅、商业物业、办公楼、工业厂房、学校等各类物业的管理与服务。
公司董事长李俊南先生，上海市闵行区政协常委，本科学历，工程师中级职称，专注物业管理服务15年，获得上海市物业管理行业协会首批物业管理专家、上海市物业行业协会优秀工作者、上海市房地局……</v>
      </c>
      <c r="E15" t="str">
        <f>INDEX(_xlfn._xlws.FILTER(报名明细!$I:$I,报名明细!$B:$B=$C15),1)</f>
        <v>智能弱电工（实习-转正）（学历：大专 专业要求：建筑智能化工程技术）</v>
      </c>
      <c r="F15" t="str">
        <f>INDEX(_xlfn._xlws.FILTER(报名明细!$L:$L,报名明细!$B:$B=$C15),1)</f>
        <v>1、负责弱电系统的日常运维、故障检修与基础调试，保障弱电系统稳定运行，支撑楼宇智能化服务落地。2、负责弱电系统的日常巡检，涵盖综合布线系统（网络、电话、光纤链路）、安防监控系统（摄像头、存储设备、监控平台）、出入口控制系统（门禁一体机、人脸识别设备、道闸联动）、楼宇对讲系统（室内分机、单元门口机、中心管理机）及停车场智能管理系统（车位引导屏、缴费终端、车牌识别设备）。3、协助完成弱电系统升级改造的现场配合工作（如综合布线扩容、旧监控设备替换）。4、配合弱电工程师完成弱电系统的基础调试，如新增门禁卡授权、监控摄像头角度调整、楼宇对讲系统室内分机注册，确保设备接入现有系统正常运行。5、建立个人负责区域的弱电设备台账，记录设备型号、安装位置、维保时间、故障历史，每月底汇总至部门负责人，确保台账信息准确更新。​6、响应业主关于弱电系统的基础咨询（如门禁卡补办流程、家中网络接口无法使用排查），跟踪问题解决进度。</v>
      </c>
      <c r="H15" s="1" t="s">
        <v>1387</v>
      </c>
      <c r="I15" s="1" t="s">
        <v>364</v>
      </c>
    </row>
    <row r="16" spans="1:9">
      <c r="A16" t="str">
        <f>_xlfn.XLOOKUP(C16,展区展位!A:A,展区展位!B:B)</f>
        <v>B互联网/电子/通信</v>
      </c>
      <c r="B16" t="str">
        <f>_xlfn.XLOOKUP(C16,展区展位!A:A,展区展位!C:C)</f>
        <v>B08</v>
      </c>
      <c r="C16" t="s">
        <v>366</v>
      </c>
      <c r="D16" t="str">
        <f>_xlfn.XLOOKUP(C16,企业简介提取!B:B,企业简介提取!F:F)</f>
        <v>公牛集团股份有限公司创办于1995年，公司专注于以转换器、墙壁开关插座为核心的民用电工产品的研发、生产和销售，主要包括转换器（即延长线插座、移动式插座等）、 墙壁开关插座、LED照明、数码配件等电源连接和用电延伸性产品，广泛应用于家庭、办公等用电场合。目前，公司拥有观海卫工业园东区、工业园西区、古窑、龙山等多个制造基地，员工总数超过1万人，建立了近100万家网点的线下实体营销网络和专业的线上电商营……</v>
      </c>
      <c r="E16" t="str">
        <f>INDEX(_xlfn._xlws.FILTER(报名明细!$I:$I,报名明细!$B:$B=$C16),1)</f>
        <v>电商运维专员（学历：大专 专业要求：无）</v>
      </c>
      <c r="F16" t="str">
        <f>INDEX(_xlfn._xlws.FILTER(报名明细!$L:$L,报名明细!$B:$B=$C16),1)</f>
        <v>岗位名称：电商运维专员薪资待遇：实习期4000元/月（工作期间每日12元餐补）,转正后：6000-12000，年终13薪，带薪年假工作时间：每天8小时，每周固定工作5天休息2天早班：9:00-18:00中间休息一小时晚班：13:00-22:00中间休息一小时（电商活动期间会有加班，平时基本没加班）工作内容：负责公牛电器天猫商城、京东商城在线运营，及售前、售中、售后服务（非电话形式），纯写字楼办公要求：大专及以上学历，打字速度快，专业不限，公司提供带薪培训一个月</v>
      </c>
      <c r="H16" s="1" t="s">
        <v>367</v>
      </c>
      <c r="I16" s="1" t="s">
        <v>369</v>
      </c>
    </row>
    <row r="17" spans="1:9">
      <c r="A17" t="str">
        <f>_xlfn.XLOOKUP(C17,展区展位!A:A,展区展位!B:B)</f>
        <v>D教育/传媒/电竞</v>
      </c>
      <c r="B17" t="str">
        <f>_xlfn.XLOOKUP(C17,展区展位!A:A,展区展位!C:C)</f>
        <v>D21</v>
      </c>
      <c r="C17" t="s">
        <v>371</v>
      </c>
      <c r="D17" t="str">
        <f>_xlfn.XLOOKUP(C17,企业简介提取!B:B,企业简介提取!F:F)</f>
        <v>上海励影文化传媒有限公司，成立于2014年，是一家综合型专业公关活动影服务商。提供导播直播、摄影摄像、视频制作等活动影像技术解决方案。公司核心团队均为高校编导专业毕业，团队年总计近干场影像服务经验，其专业度获得客户高度认可。公司自有多套顶级4KEFP导播直播系统以及高端摄影摄像器材。管理上导入了绩效管理机制，励影传媒，凭借资深执行团队+自有高端影像设备+成熟管理机制三大优势，给客户带来最具性价比的……</v>
      </c>
      <c r="E17" t="str">
        <f>INDEX(_xlfn._xlws.FILTER(报名明细!$I:$I,报名明细!$B:$B=$C17),1)</f>
        <v>助理（学历：中专/技校 专业要求：广播电视编导）</v>
      </c>
      <c r="F17" t="str">
        <f>INDEX(_xlfn._xlws.FILTER(报名明细!$L:$L,报名明细!$B:$B=$C17),1)</f>
        <v>培养目标：（直播转播活动摄像方向，平面和TVC发展方向的勿扰，）摄像师，导播，网络直播技术，摇臂手，项目经理，部门经理。*广阔的晋升空间；*可接触到业内先进设备；*过了试用期，签约后可以提供住宿；*会开车可优先考虑；岗位描述：1、配合摄像师进行日常拍摄，准备设备，搬运装配设备；2、协助直播导播完成工作，听从导播安排；3、对直播拍摄设备进行日常维护和保养；4、对拍摄素材进行归档整理和简单剪辑；5、负责项目现场内部花絮视频和照片的搜集工作；6、相关影视器材检查、整理，保养和维护。</v>
      </c>
      <c r="H17" s="1" t="s">
        <v>372</v>
      </c>
      <c r="I17" s="1" t="s">
        <v>374</v>
      </c>
    </row>
    <row r="18" spans="1:9">
      <c r="A18" t="str">
        <f>_xlfn.XLOOKUP(C18,展区展位!A:A,展区展位!B:B)</f>
        <v>D教育/传媒/电竞</v>
      </c>
      <c r="B18" t="str">
        <f>_xlfn.XLOOKUP(C18,展区展位!A:A,展区展位!C:C)</f>
        <v>D01</v>
      </c>
      <c r="C18" t="s">
        <v>377</v>
      </c>
      <c r="D18" t="str">
        <f>_xlfn.XLOOKUP(C18,企业简介提取!B:B,企业简介提取!F:F)</f>
        <v>中国福利会托儿所，由新中国的缔造者之一、国家名誉主席、中国福利会创始人宋庆龄女士亲手创办于1950年。70多年来，遵循宋庆龄“愿小树苗健康成长”的教育期许和“把最宝贵的东西给予儿童”的工作要求，中国福利会托儿所积极探索营养膳食、科学育儿、婴幼儿教育教学的研究与实践，逐渐形成了以营养为特色，以保健为基础，保教结合，身心并举的健康教育模式，构建了1-6岁早期教育全程化的办学格局。</v>
      </c>
      <c r="E18" t="str">
        <f>INDEX(_xlfn._xlws.FILTER(报名明细!$I:$I,报名明细!$B:$B=$C18),1)</f>
        <v>保育员（学历：大专 专业要求：学前教育,幼儿发展与健康管理）</v>
      </c>
      <c r="F18" t="str">
        <f>INDEX(_xlfn._xlws.FILTER(报名明细!$L:$L,报名明细!$B:$B=$C18),1)</f>
        <v>1、应具备良好的师德、健康的身心，得体的仪表；2、充满爱心和童心，爱岗敬业，能吃苦耐劳；3、护理幼儿生活，做好班级日常生活工作、校园环境、班级卫生及各类设施清洁工作；4、协助配合带班教师做好幼儿教育教学等工作；5、服从单位安排的其他相关工作。</v>
      </c>
      <c r="H18" s="1" t="s">
        <v>378</v>
      </c>
      <c r="I18" s="1" t="s">
        <v>379</v>
      </c>
    </row>
    <row r="19" spans="1:9">
      <c r="A19" t="str">
        <f>_xlfn.XLOOKUP(C19,展区展位!A:A,展区展位!B:B)</f>
        <v>D教育/传媒/电竞</v>
      </c>
      <c r="B19" t="str">
        <f>_xlfn.XLOOKUP(C19,展区展位!A:A,展区展位!C:C)</f>
        <v>D12</v>
      </c>
      <c r="C19" t="s">
        <v>403</v>
      </c>
      <c r="D19" t="str">
        <f>_xlfn.XLOOKUP(C19,企业简介提取!B:B,企业简介提取!F:F)</f>
        <v>闵行区吴泾第一幼儿园创办于1983年，目前拥有枫桦园（大班部）、剑川园（中班部）、永德园（托小班部）三个园区，1998年被评为上海市一级园，先后荣获上海市平安示范单位、区文明单位、区教育系统优秀教工之家、优秀教工小家等荣誉称号；是闵行区“见习教师规范化培训基地”、“保育见习基地”。
  幼儿园始终以办一所“幼儿喜欢、家长认可、社区满意”的家门口好幼儿园为目标，确立“以美润心，和谐发展”的办园理念，……</v>
      </c>
      <c r="E19" t="str">
        <f>INDEX(_xlfn._xlws.FILTER(报名明细!$I:$I,报名明细!$B:$B=$C19),1)</f>
        <v>闵行区吴泾第一幼儿园（学历：大专 专业要求：无）</v>
      </c>
      <c r="F19" t="str">
        <f>INDEX(_xlfn._xlws.FILTER(报名明细!$L:$L,报名明细!$B:$B=$C19),1)</f>
        <v>幼儿园育婴员、保育员。持有国家认可的《保育员》或《育婴员》职业资格证书（或职业技能等级证书）。·具备有效的《健康证》。·爱孩子是第一位！富有爱心、耐心、责任心和“眼观六路、耳听八方”的细心。·性格温和开朗，有亲和力，喜欢和孩子相处，沟通能力良好。·注重团队合作，积极主动，服从工作安排。·加分项（优先考虑）：·有幼儿园、托育中心或相关保育工作经验者。·学前教育、护理、幼师等相关专业毕业。·掌握基本的儿童急救知识（如持有急救证书）。</v>
      </c>
      <c r="H19" s="1" t="s">
        <v>404</v>
      </c>
      <c r="I19" s="1" t="s">
        <v>405</v>
      </c>
    </row>
    <row r="20" spans="1:9">
      <c r="A20" t="str">
        <f>_xlfn.XLOOKUP(C20,展区展位!A:A,展区展位!B:B)</f>
        <v>D教育/传媒/电竞</v>
      </c>
      <c r="B20" t="str">
        <f>_xlfn.XLOOKUP(C20,展区展位!A:A,展区展位!C:C)</f>
        <v>D03</v>
      </c>
      <c r="C20" t="s">
        <v>407</v>
      </c>
      <c r="D20" t="str">
        <f>_xlfn.XLOOKUP(C20,企业简介提取!B:B,企业简介提取!F:F)</f>
        <v>       宋庆龄幼儿园是以国家名誉主席宋庆龄女士的名字命名，宋庆龄幼儿园座落于充满生机的赵巷绿色生活居住园区和虹桥经济开发区。是一所致力于推广优质早期教育的知名国际学校。宋庆龄幼儿园隶属于宋庆龄创办的中国福利会的事业单位，是国内外享有盛誉的上海市优质示范幼儿园。
       宋庆龄幼儿园坚持“在教育过程中尊重与要求和谐统一”的教育理念，以发展孩子个性，开发孩子潜能，促进孩子整体和谐发展为核心……</v>
      </c>
      <c r="E20" t="str">
        <f>INDEX(_xlfn._xlws.FILTER(报名明细!$I:$I,报名明细!$B:$B=$C20),1)</f>
        <v>保育员（学历：大专 专业要求：无）</v>
      </c>
      <c r="F20" t="str">
        <f>INDEX(_xlfn._xlws.FILTER(报名明细!$L:$L,报名明细!$B:$B=$C20),1)</f>
        <v>工作内容：一线班内跟班保育员要求：保育专业毕业，身体健康，热爱幼儿保育工作</v>
      </c>
      <c r="H20" s="1" t="s">
        <v>1388</v>
      </c>
      <c r="I20" s="1" t="s">
        <v>409</v>
      </c>
    </row>
    <row r="21" spans="1:9">
      <c r="A21" t="str">
        <f>_xlfn.XLOOKUP(C21,展区展位!A:A,展区展位!B:B)</f>
        <v>D教育/传媒/电竞</v>
      </c>
      <c r="B21" t="str">
        <f>_xlfn.XLOOKUP(C21,展区展位!A:A,展区展位!C:C)</f>
        <v>D10</v>
      </c>
      <c r="C21" t="s">
        <v>513</v>
      </c>
      <c r="D21" t="str">
        <f>_xlfn.XLOOKUP(C21,企业简介提取!B:B,企业简介提取!F:F)</f>
        <v>上海市闵行区罗阳河畔幼儿园是一所位于罗阳地区的一所公办幼儿园，上海市一级园。分2个园部，靠近地铁一号线外环路站。</v>
      </c>
      <c r="E21" t="str">
        <f>INDEX(_xlfn._xlws.FILTER(报名明细!$I:$I,报名明细!$B:$B=$C21),1)</f>
        <v>保育员、育婴员（学历：本科 专业要求：无）</v>
      </c>
      <c r="F21" t="str">
        <f>INDEX(_xlfn._xlws.FILTER(报名明细!$L:$L,报名明细!$B:$B=$C21),1)</f>
        <v>1.基本条件￼￼￼：热爱教育事业，遵纪守法，无违法犯罪记录，具有良好的品行和职业道德。身体健康，能正常履行工作职责。2.学历要求￼￼￼：大专及以上学历。3.资格证书￼￼￼：具备保育员或育婴员职业资格证书。4.专业要求：相关专业5.能力要求￼￼￼：熟悉婴幼儿托育相关知识和政策法规，掌握婴幼儿心理健康、卫生、营养、保健等知识，具备简单处理儿童突发疾病和意外事故的能力，有良好的沟通能力和团队协作精神。</v>
      </c>
      <c r="H21" s="1" t="s">
        <v>514</v>
      </c>
      <c r="I21" s="1" t="s">
        <v>516</v>
      </c>
    </row>
    <row r="22" spans="1:9">
      <c r="A22" t="str">
        <f>_xlfn.XLOOKUP(C22,展区展位!A:A,展区展位!B:B)</f>
        <v>D教育/传媒/电竞</v>
      </c>
      <c r="B22" t="str">
        <f>_xlfn.XLOOKUP(C22,展区展位!A:A,展区展位!C:C)</f>
        <v>D13</v>
      </c>
      <c r="C22" t="s">
        <v>517</v>
      </c>
      <c r="D22" t="str">
        <f>_xlfn.XLOOKUP(C22,企业简介提取!B:B,企业简介提取!F:F)</f>
        <v>鑫都幼儿园成立于 2010 年 9 月，隶属于闵行区教育局，是一所公办幼儿园。园所位于莘庄工业区新源路 2760 号，占地面积达 11000 平方米，是闵行区单体规模最大的幼儿园之一。​
我们以 “让每一个孩子都闪亮，让每一位教工都成长” 为办园理念，致力于为孩子打造 “金色童年、金色梦想、金色乐园” 的成长环境；以 “绿色环保” 为办园特色，通过丰富的亲自然活动启蒙孩子环保意识与习惯。开园至今，……</v>
      </c>
      <c r="E22" t="str">
        <f>INDEX(_xlfn._xlws.FILTER(报名明细!$I:$I,报名明细!$B:$B=$C22),1)</f>
        <v>保育员/育婴师（学历：初中及以下 专业要求：学前教育）</v>
      </c>
      <c r="F22" t="str">
        <f>INDEX(_xlfn._xlws.FILTER(报名明细!$L:$L,报名明细!$B:$B=$C22),1)</f>
        <v>岗位要求：1.具备良好的个人品德，无不良从业记录，热爱儿童，富有爱心、耐心、责任心。2.拥有较强的学习能力，能够快速理解并掌握婴幼儿照料流程、园区规章制度，积极配合师傅完成带教学习任务。3.实习期间需提供有效健康证明。工作内容：1.日常照料学习与实践2.活动协助与教育支持3.环境维护与卫生消毒4.安全管理与应急配合</v>
      </c>
      <c r="H22" s="1" t="s">
        <v>1389</v>
      </c>
      <c r="I22" s="1" t="s">
        <v>520</v>
      </c>
    </row>
    <row r="23" spans="1:9">
      <c r="A23" t="str">
        <f>_xlfn.XLOOKUP(C23,展区展位!A:A,展区展位!B:B)</f>
        <v>D教育/传媒/电竞</v>
      </c>
      <c r="B23" t="str">
        <f>_xlfn.XLOOKUP(C23,展区展位!A:A,展区展位!C:C)</f>
        <v>D11</v>
      </c>
      <c r="C23" t="s">
        <v>521</v>
      </c>
      <c r="D23" t="str">
        <f>_xlfn.XLOOKUP(C23,企业简介提取!B:B,企业简介提取!F:F)</f>
        <v>      上海市闵行区七宝皇都幼儿园成立于2020年9月，是一所全日制公办幼儿园，由闵行区教育局、七宝镇政府委托闵行区启英幼儿园进行全面管理。幼儿园园长韩秀华是上海市特级教师、上海市正高级教师、同时还兼任启英幼儿园书记和园长。
      幼儿园秉持“享自主生活  筑成长乐都”的办园理念，回归“幼儿园一日生活皆课程”的教育本源，倡导每位教职工走进幼儿心灵，追随幼儿需要，尊重幼儿行为，释放幼儿天性……</v>
      </c>
      <c r="E23" t="str">
        <f>INDEX(_xlfn._xlws.FILTER(报名明细!$I:$I,报名明细!$B:$B=$C23),1)</f>
        <v>幼儿园保育员（学历：大专 专业要求：学前教育）</v>
      </c>
      <c r="F23" t="str">
        <f>INDEX(_xlfn._xlws.FILTER(报名明细!$L:$L,报名明细!$B:$B=$C23),1)</f>
        <v>1.热爱教育事业，有爱心、耐心、责任心，工作认真、细致。2.有保育员证书，年龄在35岁以内。3.有较好的理解能力和表达能力</v>
      </c>
      <c r="H23" s="1" t="s">
        <v>522</v>
      </c>
      <c r="I23" s="1" t="s">
        <v>524</v>
      </c>
    </row>
    <row r="24" spans="1:9">
      <c r="A24" t="str">
        <f>_xlfn.XLOOKUP(C24,展区展位!A:A,展区展位!B:B)</f>
        <v>B互联网/电子/通信</v>
      </c>
      <c r="B24" t="str">
        <f>_xlfn.XLOOKUP(C24,展区展位!A:A,展区展位!C:C)</f>
        <v>B17</v>
      </c>
      <c r="C24" t="s">
        <v>525</v>
      </c>
      <c r="D24" t="str">
        <f>_xlfn.XLOOKUP(C24,企业简介提取!B:B,企业简介提取!F:F)</f>
        <v>上海信玺信息科技有限公司是以纺织服装辅助教育为主的企业，主要致力于纺织服装信息化</v>
      </c>
      <c r="E24" t="str">
        <f>INDEX(_xlfn._xlws.FILTER(报名明细!$I:$I,报名明细!$B:$B=$C24),1)</f>
        <v>商务经理（学历：初中及以下 专业要求：服装与服饰设计,服装设计与工程,服装设计与工艺,服装陈列与展示设计,皮革服装制作与工艺）</v>
      </c>
      <c r="F24" t="str">
        <f>INDEX(_xlfn._xlws.FILTER(报名明细!$L:$L,报名明细!$B:$B=$C24),1)</f>
        <v>岗位职责：1、协助主管处理一切综合部的商务行政事务。2、负责内部合同的订立、变更、终止、审查、监督等工作。3、负责资料整理、归档、分析及总结、起草和管理文件，招投标、写标书、政府账号管理等。4、负责处理公司日常运行中的行政事务及后勤保障。</v>
      </c>
      <c r="H24" s="1" t="s">
        <v>526</v>
      </c>
      <c r="I24" s="1" t="s">
        <v>528</v>
      </c>
    </row>
    <row r="25" spans="1:9">
      <c r="A25" t="str">
        <f>_xlfn.XLOOKUP(C25,展区展位!A:A,展区展位!B:B)</f>
        <v>D教育/传媒/电竞</v>
      </c>
      <c r="B25" t="str">
        <f>_xlfn.XLOOKUP(C25,展区展位!A:A,展区展位!C:C)</f>
        <v>D14</v>
      </c>
      <c r="C25" t="s">
        <v>537</v>
      </c>
      <c r="D25" t="str">
        <f>_xlfn.XLOOKUP(C25,企业简介提取!B:B,企业简介提取!F:F)</f>
        <v>      上海市闵行区爱博果果幼儿园（简称“果园”）是一所直属于闵行区教育局的全日制公办幼儿园，上海市示范性幼儿园。自2013年9月开办以来，果园始终紧随学前教育改革步伐，追寻“在自然的果园里赋予儿童生长的力量”美好样态，在“多彩果园 本然生长”的办园理念引领下，打造自然生态、互动多元的游戏场域，构建“阅生活”“阅社会”“阅自然”的课程，并努力探寻数智技术与幼儿培育场景的融合创新，丰富孩子的童年……</v>
      </c>
      <c r="E25" t="str">
        <f>INDEX(_xlfn._xlws.FILTER(报名明细!$I:$I,报名明细!$B:$B=$C25),1)</f>
        <v>保育员（学历：初中及以下 专业要求：无）</v>
      </c>
      <c r="F25" t="str">
        <f>INDEX(_xlfn._xlws.FILTER(报名明细!$L:$L,报名明细!$B:$B=$C25),1)</f>
        <v>1.全面负责幼儿一日生活中的保育工作，确保幼儿身心健康和生命安全。2.在保健员指导下，严格执行幼儿园保育操作规范和安全、卫生保健制度。3.负责班级区域和包干区域的环境和设备清洁卫生消毒工作，保持室内外环境整洁。4.与教师共同管理幼儿生活，并配合本班教师组织教育活动。5.根据幼儿年龄特点，全面关注幼儿身心健康，做好特殊儿童的观察护理。</v>
      </c>
      <c r="H25" s="1" t="s">
        <v>538</v>
      </c>
      <c r="I25" s="1" t="s">
        <v>539</v>
      </c>
    </row>
    <row r="26" spans="1:9">
      <c r="A26" t="str">
        <f>_xlfn.XLOOKUP(C26,展区展位!A:A,展区展位!B:B)</f>
        <v>C汽车/服装/贸易</v>
      </c>
      <c r="B26" t="str">
        <f>_xlfn.XLOOKUP(C26,展区展位!A:A,展区展位!C:C)</f>
        <v>C19</v>
      </c>
      <c r="C26" t="s">
        <v>546</v>
      </c>
      <c r="D26" t="str">
        <f>_xlfn.XLOOKUP(C26,企业简介提取!B:B,企业简介提取!F:F)</f>
        <v>途虎养车于2011年在上海成立，是一家致力于提升汽车服务品质和产业效率的创新企业，于2023年9月26日正式在香港联合交易所主板挂牌上市。途虎养车以“让养车更简单”为使命，为用户提供换轮胎、做保养、汽车美容、汽车用品等服务和产品，并通过线上下单、线下安装的方式，让消费者享受到正品、专业的一站式服务体验。</v>
      </c>
      <c r="E26" t="str">
        <f>INDEX(_xlfn._xlws.FILTER(报名明细!$I:$I,报名明细!$B:$B=$C26),1)</f>
        <v>实习技师（学历：高中 专业要求：汽车检测与维修技术,新能源汽车运用与维修,汽车车身维修技术）</v>
      </c>
      <c r="F26" t="str">
        <f>INDEX(_xlfn._xlws.FILTER(报名明细!$L:$L,报名明细!$B:$B=$C26),1)</f>
        <v>实习技师—机修方向负责车辆的故障诊断、维修、保养、轮胎等工作实习技师—美容方向负责车辆的洗护、打蜡、镀金、贴膜、钣喷等工作</v>
      </c>
      <c r="H26" s="1" t="s">
        <v>547</v>
      </c>
      <c r="I26" s="1" t="s">
        <v>550</v>
      </c>
    </row>
    <row r="27" spans="1:9">
      <c r="A27" t="str">
        <f>_xlfn.XLOOKUP(C27,展区展位!A:A,展区展位!B:B)</f>
        <v>E城市运营与技术服务</v>
      </c>
      <c r="B27" t="str">
        <f>_xlfn.XLOOKUP(C27,展区展位!A:A,展区展位!C:C)</f>
        <v>E04</v>
      </c>
      <c r="C27" t="s">
        <v>564</v>
      </c>
      <c r="D27" t="str">
        <f>_xlfn.XLOOKUP(C27,企业简介提取!B:B,企业简介提取!F:F)</f>
        <v>上海沣奕建设咨询有限公司成立于2019年6月，注册资金：1000万元，办公地址：闵行区虹梅南路1789弄9号楼605室。公司已获得“国家高新技术企业”、“闵行区创新型中小企业”、“上海市和谐劳动关系达标企业”等称号，以及健全的ISO三体系认证AAA级企业。公司崇尚严谨、务实、创新，追求专业、高效；已与上海多家知名造价及会计师事务所、资产评估企业都有合作交流，并与知名设计院、监理合作开展全过程工程咨……</v>
      </c>
      <c r="E27" t="str">
        <f>INDEX(_xlfn._xlws.FILTER(报名明细!$I:$I,报名明细!$B:$B=$C27),1)</f>
        <v>工程造价员/预算员（学历：大专 专业要求：无）</v>
      </c>
      <c r="F27" t="str">
        <f>INDEX(_xlfn._xlws.FILTER(报名明细!$L:$L,报名明细!$B:$B=$C27),1)</f>
        <v>岗位职责：1、造价专业方面工作，具有沟通及对外接洽能力；2、编制清单、审核工程量预决算、现场签证变更等；3、掌握并熟悉定额、取费标准的组成和计算方法；4、能完成造价专业招标文件、回标分析报告编制等。任职要求：1、土木工程、机电安装、工程造价/管理等相关专业大专及以上学历，能熟练使用CAD、广联达等相关软件；2、1年以上造价咨询企业、施工单位、房地产企业相关部门工作经验；3、具有沟通、理解、应变能力，能够准确把握业主要求，善于协调各项目各方关系。</v>
      </c>
      <c r="H27" s="1" t="s">
        <v>565</v>
      </c>
      <c r="I27" s="1" t="s">
        <v>567</v>
      </c>
    </row>
    <row r="28" spans="1:9">
      <c r="A28" t="str">
        <f>_xlfn.XLOOKUP(C28,展区展位!A:A,展区展位!B:B)</f>
        <v>B互联网/电子/通信</v>
      </c>
      <c r="B28" t="str">
        <f>_xlfn.XLOOKUP(C28,展区展位!A:A,展区展位!C:C)</f>
        <v>B13</v>
      </c>
      <c r="C28" t="s">
        <v>568</v>
      </c>
      <c r="D28" t="str">
        <f>_xlfn.XLOOKUP(C28,企业简介提取!B:B,企业简介提取!F:F)</f>
        <v>软通动力信息技术（集团）股份有限公司（以下简称“软通动力”）是中国领先的软件与信息技术服务商，致力于成为具有全球影响力的数字技术服务领导企业，企业数字化转型可信赖合作伙伴。2005年，公司成立于北京，立足中国，服务全球市场。目前，公司在全球40余个城市设有近百个分支机构，构建完善的全球“营销和交付”服务网络，员工近90000人。
秉承用数字技术提升客户价值的使命，软通动力长期提供数字化创新业务服……</v>
      </c>
      <c r="E28" t="str">
        <f>INDEX(_xlfn._xlws.FILTER(报名明细!$I:$I,报名明细!$B:$B=$C28),1)</f>
        <v>手机测试岗位（学历：大专 专业要求：计算机类）</v>
      </c>
      <c r="F28" t="str">
        <f>INDEX(_xlfn._xlws.FILTER(报名明细!$L:$L,报名明细!$B:$B=$C28),1)</f>
        <v>完成手机模块测试，包含3个模块，根据面试安排会其中1个岗位方向。1、三方兼容：应用市场TOPAPP与小米手机的兼容性测试。2、设备兼容：主流蓝牙耳机、车载、有限耳机、OTG、SD卡与小米手机的兼容性测试。3、升级维护：手机整机软件测试，如系统应用、多媒体、短距、性能、功耗、通讯、显示、相机等。*周末双休，需适应项目工作强度。薪资待遇1、实习薪资：大专2800元/月，本科3000元/月，岗前带薪培训，培训预计3-5天，测试业务知识2、提供转正：按实习考核5000~8000；2、食宿自理，参考自如，费用参考800-1000/月(可以选择1-2个人一间）；3、公司统一购买实习生保险，实习期间确定可以转正的人可以签三方协议。</v>
      </c>
      <c r="H28" s="1" t="s">
        <v>1390</v>
      </c>
      <c r="I28" s="1" t="s">
        <v>571</v>
      </c>
    </row>
    <row r="29" spans="1:9">
      <c r="A29" t="str">
        <f>_xlfn.XLOOKUP(C29,展区展位!A:A,展区展位!B:B)</f>
        <v>D教育/传媒/电竞</v>
      </c>
      <c r="B29" t="str">
        <f>_xlfn.XLOOKUP(C29,展区展位!A:A,展区展位!C:C)</f>
        <v>D08</v>
      </c>
      <c r="C29" t="s">
        <v>573</v>
      </c>
      <c r="D29" t="str">
        <f>_xlfn.XLOOKUP(C29,企业简介提取!B:B,企业简介提取!F:F)</f>
        <v>华东师范大学附属紫竹幼儿园开园于2011年11月，是由华东师范大学、闵行区人民政府和紫竹科技园区三方鼎立打造的一所公办幼儿园，直属于闵行教育局。幼儿园地处紫竹国家高新技术产业开发区，紧靠华师大闵行校区，并与华师大紫竹附小和二附中组成了闵行紫竹基础教育园区。幼儿园紧紧围绕“ECNU”的办学理念(探索、创造、自然、无处不在的学习)，依托闵行区教育局、吴泾镇人民政府和紫竹国家高新区的大力支持以及华东师大……</v>
      </c>
      <c r="E29" t="str">
        <f>INDEX(_xlfn._xlws.FILTER(报名明细!$I:$I,报名明细!$B:$B=$C29),1)</f>
        <v>保育员（学历：初中及以下 专业要求：学前教育）</v>
      </c>
      <c r="F29" t="str">
        <f>INDEX(_xlfn._xlws.FILTER(报名明细!$L:$L,报名明细!$B:$B=$C29),1)</f>
        <v>主要负责2-6岁幼儿的生活照料、安全保障和教育配合。</v>
      </c>
      <c r="H29" s="1" t="s">
        <v>574</v>
      </c>
      <c r="I29" s="1" t="s">
        <v>575</v>
      </c>
    </row>
    <row r="30" spans="1:9">
      <c r="A30" t="str">
        <f>_xlfn.XLOOKUP(C30,展区展位!A:A,展区展位!B:B)</f>
        <v>E城市运营与技术服务</v>
      </c>
      <c r="B30" t="str">
        <f>_xlfn.XLOOKUP(C30,展区展位!A:A,展区展位!C:C)</f>
        <v>E12</v>
      </c>
      <c r="C30" t="s">
        <v>576</v>
      </c>
      <c r="D30" t="str">
        <f>_xlfn.XLOOKUP(C30,企业简介提取!B:B,企业简介提取!F:F)</f>
        <v>上海衡事欣冷暖设备公司从事数字暖通、建筑节能机电行业22年，在专业领域内，是一家集投资、设计、采购、施工、运营的整体化落地解决方案的专业服务商，有能力为用户提供软硬件一体化的全生命周期服务。
公司现有：总承包贰级、市政总承包贰级、机电贰级、环保贰级、古建筑贰级、钢结构贰级、特种设备B级（锅炉）安装，修理，改造
集中空调系统：维护、保养、消毒许可证等多项专业资质。</v>
      </c>
      <c r="E30" t="str">
        <f>INDEX(_xlfn._xlws.FILTER(报名明细!$I:$I,报名明细!$B:$B=$C30),1)</f>
        <v>机电设备运维工程师（学历：大专 专业要求：建筑智能化工程技术,建筑类,供热通风与空调工程技术,建筑设备工程技术,建筑电气工程技术,建筑工程技术）</v>
      </c>
      <c r="F30" t="str">
        <f>INDEX(_xlfn._xlws.FILTER(报名明细!$L:$L,报名明细!$B:$B=$C30),1)</f>
        <v>1.掌握机电（含暖通、空调等）等相关设备的工作原理、具备公用设备工程安装、验收、检维修相关知识；2.具有相应工种独立操作能力，熟悉VRV空调设备，一专多能，会维修（大金/日立/麦克维尔等）多种品牌的空调热泵机组；3.熟悉建筑行业的设备设计、安装、维护的各种规范、标准及流程；4.精通暖通、给水排水、动力设备的选型、安装、调试和维护管理等；任职要求：1、具备专业的基本理论知识，了解相关专业知识（如空调等），熟练运用Office等计算机软件系统；2、给排水、机电一体化等相关专业3、具备良好的团队合作能力、沟通协调能力，分析和解决问题的能力；4、爱岗敬业、廉洁自律、正直善良、富有创新精神，能适应不定期出差。5、可常驻项目现场，项目地点公司分配</v>
      </c>
      <c r="H30" s="1" t="s">
        <v>577</v>
      </c>
      <c r="I30" s="1" t="s">
        <v>579</v>
      </c>
    </row>
    <row r="31" spans="1:9">
      <c r="A31" t="str">
        <f>_xlfn.XLOOKUP(C31,展区展位!A:A,展区展位!B:B)</f>
        <v>D教育/传媒/电竞</v>
      </c>
      <c r="B31" t="str">
        <f>_xlfn.XLOOKUP(C31,展区展位!A:A,展区展位!C:C)</f>
        <v>D07</v>
      </c>
      <c r="C31" t="s">
        <v>581</v>
      </c>
      <c r="D31" t="str">
        <f>_xlfn.XLOOKUP(C31,企业简介提取!B:B,企业简介提取!F:F)</f>
        <v>闵行区虹鹿幼儿园是一所隶属闵行区教育局和虹桥镇政府管理的公办全日制幼儿园，创办于1999年3 月，2004年争创为上海市一级幼儿园，2008年争创为闵行区第一所区级示范园，2010年争创为上海市示范性幼儿园。我园现有虹鹿园与井亭园两个园所，占地面积共8365平方米。    
       十八年来，在全体教职工的共同努力下，幼儿园成绩斐然。先后被评为上海示范性幼儿园、上海市托幼机构保育工作先进集体……</v>
      </c>
      <c r="E31" t="str">
        <f>INDEX(_xlfn._xlws.FILTER(报名明细!$I:$I,报名明细!$B:$B=$C31),1)</f>
        <v>保育员（学历：初中及以下 专业要求：无）</v>
      </c>
      <c r="F31" t="str">
        <f>INDEX(_xlfn._xlws.FILTER(报名明细!$L:$L,报名明细!$B:$B=$C31),1)</f>
        <v>岗位：保育员岗位职责：1.负责幼儿的日常生活照料，包括协助幼儿进餐、饮水、午睡、盥洗、如厕等。2.配合班级教师开展各类活动，并在活动中做好生活、安全保障工作。3.维护班级环境卫生，定期清洁消毒。4.其他协助配合工作。任职要求：1.身体健康，持有有效健康证明；2.爱孩子，有耐心、爱心、责任心，能细心照顾幼儿的生活与情绪。3.具备良好的沟通能力与团队协作意识，能积极配合老师、保健老师完成相关工作。</v>
      </c>
      <c r="H31" s="1" t="s">
        <v>582</v>
      </c>
      <c r="I31" s="1" t="s">
        <v>583</v>
      </c>
    </row>
    <row r="32" spans="1:9">
      <c r="A32" t="str">
        <f>_xlfn.XLOOKUP(C32,展区展位!A:A,展区展位!B:B)</f>
        <v>A机械/制造/能源</v>
      </c>
      <c r="B32" t="str">
        <f>_xlfn.XLOOKUP(C32,展区展位!A:A,展区展位!C:C)</f>
        <v>A05</v>
      </c>
      <c r="C32" t="s">
        <v>662</v>
      </c>
      <c r="D32" t="str">
        <f>_xlfn.XLOOKUP(C32,企业简介提取!B:B,企业简介提取!F:F)</f>
        <v>本单位隶属于中国航天科技集团有限公司第八研究院，主要承担战术武器总体结构和总装综测、运载火箭箭体结构和大型环境试验等航天产品的研制生产任务。六十余年来先后研制生产了多个型号产品，为国防主战装备，参与研制了多个系列的运载火箭。作为中国航天和军工行业的骨干单位，为中国航天事业和装备现代化做出了杰出贡献。</v>
      </c>
      <c r="E32" t="str">
        <f>INDEX(_xlfn._xlws.FILTER(报名明细!$I:$I,报名明细!$B:$B=$C32),1)</f>
        <v>产品现场工程师（学历：大专 专业要求：无）</v>
      </c>
      <c r="F32" t="str">
        <f>INDEX(_xlfn._xlws.FILTER(报名明细!$L:$L,报名明细!$B:$B=$C32),1)</f>
        <v>1、熟悉装配流程，掌握机械结构，能阅读具有一定难度的零件图样和工艺文件；2、熟练使用CAD等绘图软件进行图纸查看，熟练运用Word、Excel等办公软件工具；3、具备机械零部件、电子设备或产品总装的装配作业经历优先；4、学历要求为大专及以上。</v>
      </c>
      <c r="H32" s="1" t="s">
        <v>663</v>
      </c>
      <c r="I32" s="1" t="s">
        <v>665</v>
      </c>
    </row>
    <row r="33" spans="1:9">
      <c r="A33" t="str">
        <f>_xlfn.XLOOKUP(C33,展区展位!A:A,展区展位!B:B)</f>
        <v>A机械/制造/能源</v>
      </c>
      <c r="B33" t="str">
        <f>_xlfn.XLOOKUP(C33,展区展位!A:A,展区展位!C:C)</f>
        <v>A13</v>
      </c>
      <c r="C33" t="s">
        <v>683</v>
      </c>
      <c r="D33" t="str">
        <f>_xlfn.XLOOKUP(C33,企业简介提取!B:B,企业简介提取!F:F)</f>
        <v>上海电气电站设备有限公司上海发电机厂（原上海汽轮发电机有限公司）隶属于上海电气集团股份有限公司电站集团，由上海电气和德国西门子公司共同投资组建。上海发电机厂于1995年12月正式成立，主要从事火电、核电、燃机领域的大型发电机成套产品的研发、设计和制造。企业融合了上海电机厂四十多年汽轮发电机设计制造经验与德国西门子、美国西屋公司的先进技术和管理理念，牢牢占据着汽轮发电机行业的领导地位。企业以成为世界……</v>
      </c>
      <c r="E33" t="str">
        <f>INDEX(_xlfn._xlws.FILTER(报名明细!$I:$I,报名明细!$B:$B=$C33),1)</f>
        <v>技术工人（学历：大专 专业要求：无）</v>
      </c>
      <c r="F33" t="str">
        <f>INDEX(_xlfn._xlws.FILTER(报名明细!$L:$L,报名明细!$B:$B=$C33),1)</f>
        <v>机电一体化专业大专生技术工人岗金加工机修钳工</v>
      </c>
      <c r="H33" s="1" t="s">
        <v>1391</v>
      </c>
      <c r="I33" s="1" t="s">
        <v>686</v>
      </c>
    </row>
    <row r="34" spans="1:9">
      <c r="A34" t="str">
        <f>_xlfn.XLOOKUP(C34,展区展位!A:A,展区展位!B:B)</f>
        <v>D教育/传媒/电竞</v>
      </c>
      <c r="B34" t="str">
        <f>_xlfn.XLOOKUP(C34,展区展位!A:A,展区展位!C:C)</f>
        <v>D25</v>
      </c>
      <c r="C34" t="s">
        <v>713</v>
      </c>
      <c r="D34" t="str">
        <f>_xlfn.XLOOKUP(C34,企业简介提取!B:B,企业简介提取!F:F)</f>
        <v>上海寻音信息科技有限公司致力于美术设计外包的服务，以及文创产品的设计研发。</v>
      </c>
      <c r="E34" t="str">
        <f>INDEX(_xlfn._xlws.FILTER(报名明细!$I:$I,报名明细!$B:$B=$C34),1)</f>
        <v>游戏3D美术设计师（学历：初中及以下 专业要求：无）</v>
      </c>
      <c r="F34" t="str">
        <f>INDEX(_xlfn._xlws.FILTER(报名明细!$L:$L,报名明细!$B:$B=$C34),1)</f>
        <v>岗位职责：1、负责游戏中的角色制作或场景制作，包括模型，贴图和灯光渲染等；2、协同原画，创造高品质的游戏角色，确保设计效果和实现品质一致任职要求：1、统招本科以上学历，美术相关专业毕业，具备扎实的美术功底；2、对游戏行业富有热情，具有良好的沟通能力与团队合作精神</v>
      </c>
      <c r="H34" s="1" t="s">
        <v>714</v>
      </c>
      <c r="I34" s="1" t="s">
        <v>716</v>
      </c>
    </row>
    <row r="35" spans="1:9">
      <c r="A35" t="str">
        <f>_xlfn.XLOOKUP(C35,展区展位!A:A,展区展位!B:B)</f>
        <v>C汽车/服装/贸易</v>
      </c>
      <c r="B35" t="str">
        <f>_xlfn.XLOOKUP(C35,展区展位!A:A,展区展位!C:C)</f>
        <v>C15</v>
      </c>
      <c r="C35" t="s">
        <v>727</v>
      </c>
      <c r="D35" t="str">
        <f>_xlfn.XLOOKUP(C35,企业简介提取!B:B,企业简介提取!F:F)</f>
        <v>日本丸菱集团发源于日本熊本县，专业从事烘焙行业70余年，在日本市场拥有极高的知名度，目前业务范围自东亚向东南亚延伸，覆盖中国，韩国，马来西亚，越南。
上海丸菱贸易有限公司是日本丸菱集团旗下的全资子公司，是一家集原料供应，机械销售与前后期技术支持于一体的食品综合企划公司。
公司最新办公地点：闵行区园美路109号（大零号湾健康云城）</v>
      </c>
      <c r="E35" t="str">
        <f>INDEX(_xlfn._xlws.FILTER(报名明细!$I:$I,报名明细!$B:$B=$C35),1)</f>
        <v>营业担当-上海（学历：本科 专业要求：市场营销,日语）</v>
      </c>
      <c r="F35" t="str">
        <f>INDEX(_xlfn._xlws.FILTER(报名明细!$L:$L,报名明细!$B:$B=$C35),1)</f>
        <v>招聘要求：1、会日语优先2、思想品行端正、工作态度踏实、身体素质良好、学习欲望强烈3、性格活泼开朗，善于沟通交流和协调人际关系，具有团队意识4、熟练操作常用办公软件5、热爱烘焙行业和本职工作工作内容：1、定期拜访客户，推荐最新产品，了解客户需求2、满足客户的业务需求，协调各方保障客户的订货流程正常进行3、配合财务的货款回收工作，及时提醒和督促不及时履行付款义务的客户4、收集市场情报、掌握行业动态，规划和制定合理的销售路线和计划5、维护好现有客户的基础之上，积极开发新客户和经销商，拓宽销售渠道6、努力完成个人销售任务，确保公司完成年度销售目标</v>
      </c>
      <c r="H35" s="1" t="s">
        <v>728</v>
      </c>
      <c r="I35" s="1" t="s">
        <v>730</v>
      </c>
    </row>
    <row r="36" spans="1:9">
      <c r="A36" t="str">
        <f>_xlfn.XLOOKUP(C36,展区展位!A:A,展区展位!B:B)</f>
        <v>D教育/传媒/电竞</v>
      </c>
      <c r="B36" t="str">
        <f>_xlfn.XLOOKUP(C36,展区展位!A:A,展区展位!C:C)</f>
        <v>D23</v>
      </c>
      <c r="C36" t="s">
        <v>745</v>
      </c>
      <c r="D36" t="str">
        <f>_xlfn.XLOOKUP(C36,企业简介提取!B:B,企业简介提取!F:F)</f>
        <v>上海福旦文化传媒有限公司成立于2021年11月04日，经营范围包括一般项目：组织文化艺术交流活动；摄影扩印服务；摄像及视频制作服务；文化用品设备出租；电影摄制服务；广告设计、代理；广告发布；广告制作；品牌管理；文具用品批发；数字内容制作服务（不含出版发行）；会议及展览服务；信息咨询服务（不含许可类信息咨询服务）；企业形象策划；市场营销策划；翻译服务；图文设计制作；平面设计；技术服务、技术开发、技术……</v>
      </c>
      <c r="E36" t="str">
        <f>INDEX(_xlfn._xlws.FILTER(报名明细!$I:$I,报名明细!$B:$B=$C36),1)</f>
        <v>后期制作（学历：大专 专业要求：无）</v>
      </c>
      <c r="F36" t="str">
        <f>INDEX(_xlfn._xlws.FILTER(报名明细!$L:$L,报名明细!$B:$B=$C36),1)</f>
        <v>工作认真，会用AEPrps,熟悉影视的流程，听从领导安排，工作积极</v>
      </c>
      <c r="H36" s="1" t="s">
        <v>746</v>
      </c>
      <c r="I36" s="1" t="s">
        <v>748</v>
      </c>
    </row>
    <row r="37" spans="1:9">
      <c r="A37" t="str">
        <f>_xlfn.XLOOKUP(C37,展区展位!A:A,展区展位!B:B)</f>
        <v>F综合</v>
      </c>
      <c r="B37" t="str">
        <f>_xlfn.XLOOKUP(C37,展区展位!A:A,展区展位!C:C)</f>
        <v>F08</v>
      </c>
      <c r="C37" t="s">
        <v>777</v>
      </c>
      <c r="D37" t="str">
        <f>_xlfn.XLOOKUP(C37,企业简介提取!B:B,企业简介提取!F:F)</f>
        <v>上海飞帆广告有限公司成立于1992年,企业性质为混合所有制，是中国一级广告企业，连续20年被评为上海市守合同重信用企业（AAA级）。公司为中国广告协会理事单位、中国广告协会户外分会副会长单位、上海市广告协会副会长单位；曾荣获中国十大领军媒体公司、中国广告协会户外广告分会十强领军企业、中国市区大牌媒体公司20强、中国户外广告企业百强榜公司、中国户外广告四十年优秀企业。
    企业的业务板块包括：户……</v>
      </c>
      <c r="E37" t="str">
        <f>INDEX(_xlfn._xlws.FILTER(报名明细!$I:$I,报名明细!$B:$B=$C37),1)</f>
        <v>市场拓展人员（学历：大专 专业要求：无）</v>
      </c>
      <c r="F37" t="str">
        <f>INDEX(_xlfn._xlws.FILTER(报名明细!$L:$L,报名明细!$B:$B=$C37),1)</f>
        <v>专业不限，有广告行业销售经验者优先；性格开朗，沟通能力强，具有良好的客户服务意识；有责任心，能承受较大的工作压力。</v>
      </c>
      <c r="H37" s="1" t="s">
        <v>778</v>
      </c>
      <c r="I37" s="1" t="s">
        <v>780</v>
      </c>
    </row>
    <row r="38" spans="1:9">
      <c r="A38" t="str">
        <f>_xlfn.XLOOKUP(C38,展区展位!A:A,展区展位!B:B)</f>
        <v>F综合</v>
      </c>
      <c r="B38" t="str">
        <f>_xlfn.XLOOKUP(C38,展区展位!A:A,展区展位!C:C)</f>
        <v>F04</v>
      </c>
      <c r="C38" t="s">
        <v>803</v>
      </c>
      <c r="D38" t="str">
        <f>_xlfn.XLOOKUP(C38,企业简介提取!B:B,企业简介提取!F:F)</f>
        <v>上海麦牙科技有限公司成立于2021年10月09日，注册地位于上海市闵行区银都路4277号3幢1层、2层、3层，法定代表人为郑燕芳。经营范围包括一般项目：技术服务、技术开发、技术咨询、技术交流、技术转让、技术推广；智能机器人的研发；工业机器人制造；工业自动控制系统装置制造；数控机床制造；数控机床销售；智能基础制造装备制造；物料搬运装备制造；智能仓储装备销售；电子专用设备制造；第一类医疗器械生产；专业……</v>
      </c>
      <c r="E38" t="str">
        <f>INDEX(_xlfn._xlws.FILTER(报名明细!$I:$I,报名明细!$B:$B=$C38),1)</f>
        <v>新媒体运营实习生（学历：大专 专业要求：无）</v>
      </c>
      <c r="F38" t="str">
        <f>INDEX(_xlfn._xlws.FILTER(报名明细!$L:$L,报名明细!$B:$B=$C38),1)</f>
        <v>岗位职责1.根据公司要求，完成用于各自媒体内容的创作，包括不仅限于抖音（主要）、小红书、大众点评、微博等2.持续迭代内容，结合自身理解，探索产品定位和用户需求作为切入3.输出高质量的短视频、图文内容并提升品牌与产品的声量岗位要求1.选题有趣富有创意，有短视频、图文笔记创造经验，各大社交平台深度用户尤其是抖音平台优先2.认真负责，积极主动，能够保质保量完成日常工作交付3.兴趣宽泛，熟悉全网热点、爆梗、对美妆、轻医疗有一定认知*温馨提示：此岗位需用于个人账号发布内容（主要以抖音平台为主）</v>
      </c>
      <c r="H38" s="1" t="s">
        <v>804</v>
      </c>
      <c r="I38" s="1" t="s">
        <v>806</v>
      </c>
    </row>
    <row r="39" spans="1:9">
      <c r="A39" t="str">
        <f>_xlfn.XLOOKUP(C39,展区展位!A:A,展区展位!B:B)</f>
        <v>C汽车/服装/贸易</v>
      </c>
      <c r="B39" t="str">
        <f>_xlfn.XLOOKUP(C39,展区展位!A:A,展区展位!C:C)</f>
        <v>C09</v>
      </c>
      <c r="C39" t="s">
        <v>822</v>
      </c>
      <c r="D39" t="str">
        <f>_xlfn.XLOOKUP(C39,企业简介提取!B:B,企业简介提取!F:F)</f>
        <v>上汽大众汽车有限公司 （简称“上汽大众”）是一家中德合资企业 ，由上汽集团和大众汽车集团合资经营 。公司于1984年10月签约奠基，是国内历史悠久的汽车合资企业之一。公司总部位于上海安亭，并先后在南京 、仪征、乌鲁木齐、宁波 、长沙等地建立了生产基地。 </v>
      </c>
      <c r="E39" t="str">
        <f>INDEX(_xlfn._xlws.FILTER(报名明细!$I:$I,报名明细!$B:$B=$C39),1)</f>
        <v>汽车生产装配管培生（学历：大专 专业要求：无）</v>
      </c>
      <c r="F39" t="str">
        <f>INDEX(_xlfn._xlws.FILTER(报名明细!$L:$L,报名明细!$B:$B=$C39),1)</f>
        <v>一、岗位情况1、岗位名称：冲压工、点焊工、喷漆工、装配工、检验员。2、岗位的性质：了解和熟悉汽车线束电路组成和构建，汽车各零件的装配及调试。3、工作的内容A、(操作员岗位职责）:-（1）熟悉车辆线束的种类、布局；（2）负责汽车零部件的组装和调试；（3）白车身白车身的焊接加工以及测试、保养、维护（4）负责协助上级完成工作计划；四、薪资体系二、薪资体系1、上班时间：上六休一，每天工作8-9小时（不定期加班1-2小时），中午约一个小时左右吃饭时间。2、薪资结构：基本工资+加班工资+吃住补贴。3、免费提供住宿、工作餐、免费提供床上用品生活用品（满三个月报销车费），有空调洗衣机热水网络。4、薪资：实习生工资按实际出勤时长发放工资，综合薪资3500-5500左右，加班越多工资越高，交商业保险。三、福利待遇1、福利：实习结束后，公司安排统一转正，并购买六险一金。2、住宿：提供6-8人/间标准宿舍，宿舍配备有空调、热水器、WiFi、独立卫生间等。3、过年过节会发放礼品、定期组建团建户外活动！4、转正后内部员工享受大众旗下品牌汽车购车优惠！5、有年终奖、生日费、过节费、季度福利、定期培训等。6、业余活动……</v>
      </c>
      <c r="H39" s="1" t="s">
        <v>823</v>
      </c>
      <c r="I39" s="1" t="s">
        <v>1392</v>
      </c>
    </row>
    <row r="40" spans="1:9">
      <c r="A40" t="str">
        <f>_xlfn.XLOOKUP(C40,展区展位!A:A,展区展位!B:B)</f>
        <v>D教育/传媒/电竞</v>
      </c>
      <c r="B40" t="str">
        <f>_xlfn.XLOOKUP(C40,展区展位!A:A,展区展位!C:C)</f>
        <v>D05</v>
      </c>
      <c r="C40" t="s">
        <v>909</v>
      </c>
      <c r="D40" t="str">
        <f>_xlfn.XLOOKUP(C40,企业简介提取!B:B,企业简介提取!F:F)</f>
        <v>上海迪士尼度假区是中国内地的第一个迪士尼度假区，在这里，亲朋好友们可以尽情体验和畅享一个充满奇幻、想象、创意和探险的全新世界。该度假区是上海迪士尼乐园的所在地，度假区内设两座主题酒店，一个大型购物、餐饮和娱乐区——迪士尼小镇，星愿公园和其他户外休闲区域。上海迪士尼度假区的演职人员为游客提供一流的服务，该度假区专为中国游客打造了融合了迪士尼神奇和中国文化魅力的体验。在不断发展这一神奇目的时，我们也在……</v>
      </c>
      <c r="E40" t="str">
        <f>INDEX(_xlfn._xlws.FILTER(报名明细!$I:$I,报名明细!$B:$B=$C40),1)</f>
        <v>迪士尼园艺部实习生（学历：大专 专业要求：无）</v>
      </c>
      <c r="F40" t="str">
        <f>INDEX(_xlfn._xlws.FILTER(报名明细!$L:$L,报名明细!$B:$B=$C40),1)</f>
        <v>职位描述园丁应具备合理科学的园林养护的基础知识，同时要了解不同种类观赏植物及其养护方法。在上海迪士尼度假乐园，园丁将会与资深园丁以及维护工一起工作，共同对乐园内植被及景观进行养护。园丁应听从资深园丁和园艺经理的命令和指示，并应具备园艺养护的实际经验，习惯与其他同事合同协作。工作职责(包括但不局限)•与资深园丁及其他初级园丁进行常规园林及景观养护工作•熟悉常规的树木修剪、剪切、割灌等日常工作，可操作不同类型的园林工具和设备，如绿篱机，割灌机，电锯等，熟练使用这些工具设备是景观养护的基本需求•及时检查，更换特定种植区域已死植被或者长势不理想的植被•会操作一些园林机械设备，如高架平台、驱动车辆和高尔夫球车等•能根据观察植物生长及土壤状况，做到及时灌溉补水•积极完成领导安排的其他各项工作</v>
      </c>
      <c r="H40" s="1" t="s">
        <v>910</v>
      </c>
      <c r="I40" s="1" t="s">
        <v>912</v>
      </c>
    </row>
    <row r="41" spans="1:9">
      <c r="A41" t="str">
        <f>_xlfn.XLOOKUP(C41,展区展位!A:A,展区展位!B:B)</f>
        <v>E城市运营与技术服务</v>
      </c>
      <c r="B41" t="str">
        <f>_xlfn.XLOOKUP(C41,展区展位!A:A,展区展位!C:C)</f>
        <v>E08</v>
      </c>
      <c r="C41" t="s">
        <v>964</v>
      </c>
      <c r="D41" t="str">
        <f>_xlfn.XLOOKUP(C41,企业简介提取!B:B,企业简介提取!F:F)</f>
        <v>万国数据服务有限公司（纳斯达克股票代码：GDS ；港交所 股票代码： 9698 ）是国内面向 5G 、人工智能、云计算、工业互联网、区块链等领域的新一代信息技术基础设施服务提供商，于 2016 年在美国纳斯达克上市，并于 2020 年在港交所成功二次上市。公司拥有 21 年安全可靠的 IT 基础设施服务经验，在国内核心经济区域部
署数据中心。截至 20 22 年第 二 季度末 ，公司在京津冀地区、……</v>
      </c>
      <c r="E41" t="str">
        <f>INDEX(_xlfn._xlws.FILTER(报名明细!$I:$I,报名明细!$B:$B=$C41),1)</f>
        <v>培训助理（学历：本科 专业要求：人力资源管理）</v>
      </c>
      <c r="F41" t="str">
        <f>INDEX(_xlfn._xlws.FILTER(报名明细!$L:$L,报名明细!$B:$B=$C41),1)</f>
        <v>工作内容：1.协助组织/学习发展各项数据的统计与整理2.协助各类组织/学习发展活动的前期材料准备、内部宣传与策划3.协助各项组织/学习发展活动现场的支持4.做好组织/学习发展各类文档、音视频材料的整理及归档5.领导交办的其他事宜基本要求：1.本科及以上，大三及研二优先考虑2.具有较强的英文读写能力，CET六级及以上3.细心和耐心，具备较强的沟通能力和学习能力，逻辑思维能力强4.熟练使用OFFICE办公软件，熟悉平面设计相关软件优先5.每周至少3天实习</v>
      </c>
      <c r="H41" s="1" t="s">
        <v>1393</v>
      </c>
      <c r="I41" s="1" t="s">
        <v>967</v>
      </c>
    </row>
    <row r="42" spans="1:9">
      <c r="A42" t="str">
        <f>_xlfn.XLOOKUP(C42,展区展位!A:A,展区展位!B:B)</f>
        <v>B互联网/电子/通信</v>
      </c>
      <c r="B42" t="str">
        <f>_xlfn.XLOOKUP(C42,展区展位!A:A,展区展位!C:C)</f>
        <v>B11</v>
      </c>
      <c r="C42" t="s">
        <v>987</v>
      </c>
      <c r="D42" t="str">
        <f>_xlfn.XLOOKUP(C42,企业简介提取!B:B,企业简介提取!F:F)</f>
        <v>上海捷声商务服务有限公司
Jie Sheng Communication Services （Shanghai）Inc.以下简称 捷声 或 JCS
2015年3月成立于上海自贸区，作为金慧科技集团全资子公司同时
作为VCS的中国兄弟公司，主要负责呼叫中心项目实际落地运营工作。
金慧科技集团
成立时间  2013年11月，注册资金  10000万元
雇员总数 10000+，国内交付地 24，国内交付……</v>
      </c>
      <c r="E42" t="str">
        <f>INDEX(_xlfn._xlws.FILTER(报名明细!$I:$I,报名明细!$B:$B=$C42),1)</f>
        <v>客服专员（学历：大专 专业要求：无）</v>
      </c>
      <c r="F42" t="str">
        <f>INDEX(_xlfn._xlws.FILTER(报名明细!$L:$L,报名明细!$B:$B=$C42),1)</f>
        <v>职位描述：1、接听顾客来电，提供汽车相关业务咨询服务；2、在线帮助客户解答处理车辆问题；3、对于电话内容进行原话录入；4、对于入电数据汇总统计。任职要求：1、中专及以上学历，有2年以上客户服务工作经验者优先。2、普通话标准、流利，具备良好的服务意识，亲和力强。3、具备良好的表达、理解、判断和沟通能力。4、计算机操作熟练，中文输入45字/分钟以上。5、为人真诚，具备良好的团队合作精神。工作时间：做五休二，轮休制度，工作时间9:30-18:30或者8-22点之间轮班综合薪资：满勤3000+500（车贴、满勤）+表现奖励工作地址：上海市宝山区少年村路6号/浦东新区德堡路472号地铁路线：地铁七号线场中路站1号出口，步行15分钟左右</v>
      </c>
      <c r="H42" s="1" t="s">
        <v>988</v>
      </c>
      <c r="I42" s="1" t="s">
        <v>990</v>
      </c>
    </row>
    <row r="43" spans="1:9">
      <c r="A43" t="str">
        <f>_xlfn.XLOOKUP(C43,展区展位!A:A,展区展位!B:B)</f>
        <v>D教育/传媒/电竞</v>
      </c>
      <c r="B43" t="str">
        <f>_xlfn.XLOOKUP(C43,展区展位!A:A,展区展位!C:C)</f>
        <v>D15</v>
      </c>
      <c r="C43" t="s">
        <v>991</v>
      </c>
      <c r="D43" t="str">
        <f>_xlfn.XLOOKUP(C43,企业简介提取!B:B,企业简介提取!F:F)</f>
        <v>     上海堃苗教育科技有限公司，是贝思优托育品牌总部公司。贝思优品牌创设于 2017
年，专注于 0-3 婴幼儿托育服务，是爱绿教育集团下属的品牌。自 2016 年 9 月起，在
集团 30 多年的办学经验和平台上，贝思优深耕 0-3 托育服务品质，是业内极具专业口
碑的持证合法化托育园！   
      爱绿教育集团是一家以学前教育为主营业务的综合性教育产业集团。爱绿品牌于
1987 年创……</v>
      </c>
      <c r="E43" t="str">
        <f>INDEX(_xlfn._xlws.FILTER(报名明细!$I:$I,报名明细!$B:$B=$C43),1)</f>
        <v>育婴师/保育员（学历：大专 专业要求：无）</v>
      </c>
      <c r="F43" t="str">
        <f>INDEX(_xlfn._xlws.FILTER(报名明细!$L:$L,报名明细!$B:$B=$C43),1)</f>
        <v>工作职责：1、协助主班老师完成教育教学任务；2、协助负责婴幼儿在园一日生活常规管理。实习地址：上海市杨浦区长阳路2087弄8号上海市宝山区漠河路230号1幢1楼上海市闵行区虹梅路2878、2882号上海市闵行区紫月路919号上海市闵行区宁虹路1166号106、107室浦东新区祝桥镇上飞路919号梦栖园45幢1楼</v>
      </c>
      <c r="H43" s="1" t="s">
        <v>1394</v>
      </c>
      <c r="I43" s="1" t="s">
        <v>994</v>
      </c>
    </row>
    <row r="44" spans="1:9">
      <c r="A44" t="str">
        <f>_xlfn.XLOOKUP(C44,展区展位!A:A,展区展位!B:B)</f>
        <v>B互联网/电子/通信</v>
      </c>
      <c r="B44" t="str">
        <f>_xlfn.XLOOKUP(C44,展区展位!A:A,展区展位!C:C)</f>
        <v>B07</v>
      </c>
      <c r="C44" t="s">
        <v>995</v>
      </c>
      <c r="D44" t="str">
        <f>_xlfn.XLOOKUP(C44,企业简介提取!B:B,企业简介提取!F:F)</f>
        <v>微星科技成立于 1986年8月,一直以来始终秉持着『 产品卓越、质量精良、服务完美、客户满意 』的四大经营理念，专精于主板、各式显示适配器、笔记本产品的设计及制造，基于对客户满意的坚持下，历经严格的考验脱颖而出，跃身成为全球前三大的主板制造商；同时也是台湾最大、全球前五大的服务器制造商。而显示适配器的表现更是令人赞叹，已连续四年蝉联全球显示卡销售冠军美誉。</v>
      </c>
      <c r="E44" t="str">
        <f>INDEX(_xlfn._xlws.FILTER(报名明细!$I:$I,报名明细!$B:$B=$C44),1)</f>
        <v>运营助理（学历：本科 专业要求：市场营销,电子商务）</v>
      </c>
      <c r="F44" t="str">
        <f>INDEX(_xlfn._xlws.FILTER(报名明细!$L:$L,报名明细!$B:$B=$C44),1)</f>
        <v>岗位职责：1、负责线上店铺的产品发布更新及维护，相关线上客情维护；2、负责店铺日常促销活动的提报、规划，针对活动效果进行跟踪和评估；3、负责线上产品数据整理分析，产品限价管理等事宜；4、主管安排的其他工作。岗位要求：1、本科及以上学历，专业不限，欢迎应届电脑DIY爱好者；2、熟悉电商及天猫、淘宝店铺运营模式；3、富有团队协作精神，认真、仔细、有责任心；4、熟练操作Excel、PPT等办公软件，有一定数据分析能力；5、良好的职业修养，有一定的沟通及表达能力，有一定抗压能力。</v>
      </c>
      <c r="H44" s="1" t="s">
        <v>996</v>
      </c>
      <c r="I44" s="1" t="s">
        <v>998</v>
      </c>
    </row>
    <row r="45" spans="1:9">
      <c r="A45" t="str">
        <f>_xlfn.XLOOKUP(C45,展区展位!A:A,展区展位!B:B)</f>
        <v>A机械/制造/能源</v>
      </c>
      <c r="B45" t="str">
        <f>_xlfn.XLOOKUP(C45,展区展位!A:A,展区展位!C:C)</f>
        <v>A20</v>
      </c>
      <c r="C45" t="s">
        <v>1005</v>
      </c>
      <c r="D45" t="str">
        <f>_xlfn.XLOOKUP(C45,企业简介提取!B:B,企业简介提取!F:F)</f>
        <v>JAKA节卡机器人，全球协作机器人革新者。创立于2014年，音译自英文名“JAKA”（Just Always Keep Amazing）永葆卓越之意，是一家聚焦于新一代协作机器人本体与智慧工厂创新研发的高新技术企业。
节卡机器人传承了上海交通大学机器人研究所自1979年以来的机器人核心技术积累与研发基因，组建了由10余名领域权威专家及百余名资深工程师组成的庞大研发团队，目前在驱控一体化、一体化关……</v>
      </c>
      <c r="E45" t="str">
        <f>INDEX(_xlfn._xlws.FILTER(报名明细!$I:$I,报名明细!$B:$B=$C45),1)</f>
        <v>财务管培生（学历：初中及以下 专业要求：无）</v>
      </c>
      <c r="F45" t="str">
        <f>INDEX(_xlfn._xlws.FILTER(报名明细!$L:$L,报名明细!$B:$B=$C45),1)</f>
        <v>工作职责：1.财务轮岗：包括总账、资金、税务、成本及财务分析，全面储备培训；2.熟悉各岗位工作职责，善于发现问题，提出问题并寻求解决问题方法，提高工作效率及输出结果；3.协助导师完成一些基础工作。任职资格：1.熟悉国家会计、税务法律法规及相关税收政策；2.能够熟练运用财务软件及办公软件；3.良好的个人发展意愿，较强的语言表达、沟通协调能力；4.接受从基层岗位做起，有较强的学习能力与执行能力，富有团队精神和奉献精神。</v>
      </c>
      <c r="H45" s="1" t="s">
        <v>1006</v>
      </c>
      <c r="I45" s="1" t="s">
        <v>1008</v>
      </c>
    </row>
    <row r="46" spans="1:9">
      <c r="A46" t="str">
        <f>_xlfn.XLOOKUP(C46,展区展位!A:A,展区展位!B:B)</f>
        <v>A机械/制造/能源</v>
      </c>
      <c r="B46" t="str">
        <f>_xlfn.XLOOKUP(C46,展区展位!A:A,展区展位!C:C)</f>
        <v>A02</v>
      </c>
      <c r="C46" t="s">
        <v>1023</v>
      </c>
      <c r="D46" t="str">
        <f>_xlfn.XLOOKUP(C46,企业简介提取!B:B,企业简介提取!F:F)</f>
        <v>       八〇三所，始建于1960年，是我国最早从事导弹武器、航天运输器、空间飞行器控制系统和惯性技术产品研制的单位之一，已发展成为集研发、设计、生产、试验为一体，专业优势突出、产品配套齐全、具有自主创新能力和综合优势的航天控制系统研究所。
       依托系统研发与单机研制的综合优势，八〇三所的飞行控制、光电探测与制导、惯性测量与导航、伺服驱动与控制等技术均达到国内先进水平，产品应用覆盖陆……</v>
      </c>
      <c r="E46" t="str">
        <f>INDEX(_xlfn._xlws.FILTER(报名明细!$I:$I,报名明细!$B:$B=$C46),1)</f>
        <v>航天控制工程师（学历：博士 专业要求：探测制导与控制技术,控制科学与工程,控制工程,导航、制导与控制,控制理论与控制工程,飞行器控制与信息工程）</v>
      </c>
      <c r="F46" t="str">
        <f>INDEX(_xlfn._xlws.FILTER(报名明细!$L:$L,报名明细!$B:$B=$C46),1)</f>
        <v>职责描述：负责航天产品的导航、制导、控制的算法或软件开发负责控制系统研发，动力学建模等工作任职要求：1.控制科学与工程一级学科相关专业及方向2.有飞行力学、飞行动力学、自动控制原理、现代控制理论基础3.具有卫星、导弹、飞机姿态控制系统研发相关经历者优先，熟练运用Matlab等专业分析软件4.承担过姿态控制相关项目负责人或具有伺服单机设计经验者优先5.有航天、航空背景者优先</v>
      </c>
      <c r="H46" s="1" t="s">
        <v>1395</v>
      </c>
      <c r="I46" s="1" t="s">
        <v>1026</v>
      </c>
    </row>
    <row r="47" spans="1:9">
      <c r="A47" t="str">
        <f>_xlfn.XLOOKUP(C47,展区展位!A:A,展区展位!B:B)</f>
        <v>E城市运营与技术服务</v>
      </c>
      <c r="B47" t="str">
        <f>_xlfn.XLOOKUP(C47,展区展位!A:A,展区展位!C:C)</f>
        <v>E10</v>
      </c>
      <c r="C47" t="s">
        <v>1045</v>
      </c>
      <c r="D47" t="str">
        <f>_xlfn.XLOOKUP(C47,企业简介提取!B:B,企业简介提取!F:F)</f>
        <v>上海格瑞特科技实业股份有限公司，立于1994年； 
中国楼控唯一新三板挂牌公司（证券代码：872532）
格瑞特是建筑智能化行业建筑设备安全运行解决方案的老牌设备制造商、服务商、解决方案提供商、设备能源服务运营商；中国楼控唯一新三板挂牌公司（证券代码872532）；系上海高新技术企业，软件企业，拥有50余项专利和软件著作权；系中国TC-100标准化委员会委员单位；多个行业协会副理事长和理事单位；
……</v>
      </c>
      <c r="E47" t="str">
        <f>INDEX(_xlfn._xlws.FILTER(报名明细!$I:$I,报名明细!$B:$B=$C47),1)</f>
        <v>助理调试工程师（学历：大专 专业要求：无）</v>
      </c>
      <c r="F47" t="str">
        <f>INDEX(_xlfn._xlws.FILTER(报名明细!$L:$L,报名明细!$B:$B=$C47),1)</f>
        <v>助理调试工程师1、岗位工作内容：（1）、学习楼宇自控、能源管理、智能照明等绿色建筑系统施工设计、现场指导、调试知识（2）、掌握楼宇自控系统软硬件操作、调试和现场问题解决能力2、岗位任职要求：（1）、大专及以上学历，自动化、信息工程、电子工程等工科专业（2）、有学习能力，已能够熟练CAD制图者优先。</v>
      </c>
      <c r="H47" s="1" t="s">
        <v>1046</v>
      </c>
      <c r="I47" s="1" t="s">
        <v>1048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D23" sqref="D23"/>
    </sheetView>
  </sheetViews>
  <sheetFormatPr defaultColWidth="9" defaultRowHeight="14.5" outlineLevelCol="7"/>
  <sheetData>
    <row r="1" spans="1:8">
      <c r="A1" t="s">
        <v>1146</v>
      </c>
      <c r="B1" t="s">
        <v>1147</v>
      </c>
      <c r="C1" t="s">
        <v>1381</v>
      </c>
      <c r="D1" t="s">
        <v>1382</v>
      </c>
      <c r="E1" t="s">
        <v>1383</v>
      </c>
      <c r="F1" t="s">
        <v>1384</v>
      </c>
      <c r="G1" t="s">
        <v>1396</v>
      </c>
      <c r="H1" t="s">
        <v>1397</v>
      </c>
    </row>
    <row r="2" spans="1:8">
      <c r="A2" t="str">
        <f>_xlfn.XLOOKUP(C2,展区展位!A:A,展区展位!B:B)</f>
        <v>C汽车/服装/贸易</v>
      </c>
      <c r="B2" t="str">
        <f>_xlfn.XLOOKUP(C2,展区展位!A:A,展区展位!C:C)</f>
        <v>C20</v>
      </c>
      <c r="C2" t="s">
        <v>31</v>
      </c>
      <c r="D2" t="str">
        <f>_xlfn.XLOOKUP(C2,企业简介提取!B:B,企业简介提取!F:F)</f>
        <v>上海德辰汽车销售公司是北方一大型汽车经销商集团在上海新投资创立的
一汽大众奥迪品牌 4S 店。超越了传统豪华汽车 4S 店的概念，实际具备品牌体
验、车型展示、新车销售、售后服务、二手车置换等多种功能，完备的设施以
及周到的服务一应俱全，体现出国际豪华品牌全球统一的服务水准。 
 该城市展厅坐落于闵行区颛桥地区（颛兴东路 1280 弄 3 号）。地铁、轻轨
均可到达，交通便捷。地址：颛兴东路 ……</v>
      </c>
      <c r="E2" t="str">
        <f>INDEX(_xlfn._xlws.FILTER(报名明细!$I:$I,报名明细!$B:$B=$C2),1)</f>
        <v>机电实习生（学历：中专/技校 专业要求：汽车检测与维修技术,新能源汽车技术,汽车运用与维修技术,汽车车身维修技术,新能源汽车运用与维修,汽车制造类,汽车服务工程,汽车维修工程教育,新能源汽车工程）</v>
      </c>
      <c r="F2" t="str">
        <f>INDEX(_xlfn._xlws.FILTER(报名明细!$L:$L,报名明细!$B:$B=$C2),1)</f>
        <v>具有一定的汽车理论知识和汽车维修知识，具有较强的动手能力、语言表达能力、独立解决问题的能力、汽车工艺学习及钻研能力</v>
      </c>
      <c r="G2" t="str">
        <f>INDEX(_xlfn._xlws.FILTER(报名明细!$I:$I,报名明细!$B:$B=$C2),2)</f>
        <v>机电实习生（学历：中专/技校 专业要求：汽车运用与维修技术,汽车检测与维修技术,汽车服务工程）</v>
      </c>
      <c r="H2" t="str">
        <f>INDEX(_xlfn._xlws.FILTER(报名明细!$L:$L,报名明细!$B:$B=$C2),2)</f>
        <v>具有一定的汽车理论知识和汽车维修知识，具有较强的动手能力、语言表达能力、独立解决问题的能力、汽车工艺学习及钻研能力</v>
      </c>
    </row>
    <row r="3" spans="1:8">
      <c r="A3" t="str">
        <f>_xlfn.XLOOKUP(C3,展区展位!A:A,展区展位!B:B)</f>
        <v>D教育/传媒/电竞</v>
      </c>
      <c r="B3" t="str">
        <f>_xlfn.XLOOKUP(C3,展区展位!A:A,展区展位!C:C)</f>
        <v>D16</v>
      </c>
      <c r="C3" t="s">
        <v>51</v>
      </c>
      <c r="D3" t="str">
        <f>_xlfn.XLOOKUP(C3,企业简介提取!B:B,企业简介提取!F:F)</f>
        <v>网鱼创始于1998年，从诞生之初就秉承不断创新的理念，致力于打造多人游戏空间。截至2020年12月31日，网鱼全球会员数超2000万，服务覆盖国内外106个城市。全球拥有超1000家门店，年服务人次超3000万，iG战队倾情代言，是深受全球玩家喜爱的聚玩圣地。2021年推出“网鱼电竞酒店”，正式进军电竞酒店行业，打造跨品类、跨业态、跨平台的综合娱乐型品牌，践行“给用户美好的体验”。</v>
      </c>
      <c r="E3" t="str">
        <f>INDEX(_xlfn._xlws.FILTER(报名明细!$I:$I,报名明细!$B:$B=$C3),1)</f>
        <v>门店管培生（学历：大专 专业要求：无）</v>
      </c>
      <c r="F3" t="str">
        <f>INDEX(_xlfn._xlws.FILTER(报名明细!$L:$L,报名明细!$B:$B=$C3),1)</f>
        <v>公司简介：网鱼创始于1998年，起源于上海松江，2015年获得上海市著名商标荣誉称号。作为国内电竞连锁的代表，从诞生之初就秉承不断创新的理念，致力于全球第一电竞社区的打造，为全球电竞玩家提供优质的电竞休闲娱乐服务。截至2021年12月31日，网鱼全球会员数超2000万，服务覆盖国内外82个城市，在美国、英国、加拿大、澳大利亚、新加坡等多个国家开设门店，全球拥有900多家门店，年服务人次超4000万。2021年，网鱼品牌创新升级为“网鱼电竞”，打造游戏玩家的电竞基地；探索多业态，推出“网鱼电竞酒店”，正式进军电竞酒店行业，打造跨品类、跨业态、跨平台的综合娱乐型品牌，践行“给用户美好的体验”。截至2023年12月，网鱼电竞酒店覆盖全国26个主要城市，在营门店数量超过200家。岗位介绍门店管培生（储备店长）：50名工作地点：全国（全国1700家门店，可根据意向城市分配工作城市）。工作职责:1、经营管理：从基层店员历练开始，协助酒店店长进行门店的运营管理，管理门店资产设备、现金、账务，薪资录入，奖金核算；2、学习管理：跟随导师学习门店人员的岗位落实及日常管理；3、品质管理：保证门店卫生品质，逐……</v>
      </c>
      <c r="G3" t="str">
        <f>INDEX(_xlfn._xlws.FILTER(报名明细!$I:$I,报名明细!$B:$B=$C3),2)</f>
        <v>客户经理（学历：大专 专业要求：无）</v>
      </c>
      <c r="H3" t="str">
        <f>INDEX(_xlfn._xlws.FILTER(报名明细!$L:$L,报名明细!$B:$B=$C3),2)</f>
        <v>职责：1、导座服务：①严格执行门店导座SOP标准，提升顾客满意度；②主动观察顾客消费习惯，提供个性化服务；③工作时间需着JK制服，并保持整洁得体的妆容及精神面貌；2、抖音直播：①每日在门店非上客高峰期，使用门店抖音账号，完成2小时直播；②负责直播间的秩序维护和用户互动，积极解答用户问题；③发掘直播间内意向用户，吸引用户到店，提升门店新会员数量；④每日24点前，完成一条抖音视频发布。3、会员运营：①完成企业微信社群搭建、成员邀请及日常维护；②每日回访新客，定期收集top100顾客反馈建议；③每日邀请老顾客到店上网，并为顾客线上订座；4、线上平台维护：①每周按照店长要求，完成高德/百度/腾讯地图/美团平台的优质好评数。②100%邀请团购用户消费后评价。要求：1、性别：女2、年龄：18-24周岁3、学历：大专及以上学历4、形象：身高160CM以上，形象气质佳5、性格特质：活泼开朗，有服务意识，擅沟通喜交流6、经验能力：会端游、有直播或者游戏教练经验者优先薪资待遇1、薪资：月薪5000+；2、福利：每月免费上网时长60小时，免费饮品10杯，简餐半价券42张，其他福利均同门店其他员工；3、销售提……</v>
      </c>
    </row>
    <row r="4" spans="1:8">
      <c r="A4" t="str">
        <f>_xlfn.XLOOKUP(C4,展区展位!A:A,展区展位!B:B)</f>
        <v>E城市运营与技术服务</v>
      </c>
      <c r="B4" t="str">
        <f>_xlfn.XLOOKUP(C4,展区展位!A:A,展区展位!C:C)</f>
        <v>E16</v>
      </c>
      <c r="C4" t="s">
        <v>93</v>
      </c>
      <c r="D4" t="str">
        <f>_xlfn.XLOOKUP(C4,企业简介提取!B:B,企业简介提取!F:F)</f>
        <v>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
公司自上世纪九十年代至今已先后设计和施工了影剧院、演剧场、文化馆等几百项文化设施项目及公共商业设施项目，取得了良好的社会信誉……</v>
      </c>
      <c r="E4" t="str">
        <f>INDEX(_xlfn._xlws.FILTER(报名明细!$I:$I,报名明细!$B:$B=$C4),1)</f>
        <v>软件开发设计师（学历：大专 专业要求：无）</v>
      </c>
      <c r="F4" t="str">
        <f>INDEX(_xlfn._xlws.FILTER(报名明细!$L:$L,报名明细!$B:$B=$C4),1)</f>
        <v>技术基础：掌握前端基础技术，包括HTML/CSS/JavaScript，了解ES6及以上语法；熟悉或初步了解小程序开发技术栈（WXML/WXSS），有使用微信开发者工具的基础经验；了解Vue、React等前端框架，或Python、Java等任一后端语言者优先。3.工具与能力：能使用微信开发者工具完成简单代码编写、调试与预览；具备基础的逻辑思维和问题排查能力，能理解简单业务需求并配合完成代码辅助工作；会使用Git等版本控制工具（如GitHub、GitLab）者加分。</v>
      </c>
      <c r="G4" t="str">
        <f>INDEX(_xlfn._xlws.FILTER(报名明细!$I:$I,报名明细!$B:$B=$C4),2)</f>
        <v>装饰设计（学历：大专 专业要求：无）</v>
      </c>
      <c r="H4" t="str">
        <f>INDEX(_xlfn._xlws.FILTER(报名明细!$L:$L,报名明细!$B:$B=$C4),2)</f>
        <v>软件技能：熟练使用CAD（绘制平面图、施工图）、SketchUp（基础建模），掌握3DMax/Blender（建模）、Photoshop（效果图后期）者优先。具备基础的空间布局、色彩搭配审美；了解常见装饰材料（如板材、涂料）、施工工艺基础知识者。</v>
      </c>
    </row>
    <row r="5" spans="1:8">
      <c r="A5" t="str">
        <f>_xlfn.XLOOKUP(C5,展区展位!A:A,展区展位!B:B)</f>
        <v>F综合</v>
      </c>
      <c r="B5" t="str">
        <f>_xlfn.XLOOKUP(C5,展区展位!A:A,展区展位!C:C)</f>
        <v>F09</v>
      </c>
      <c r="C5" t="s">
        <v>114</v>
      </c>
      <c r="D5" t="str">
        <f>_xlfn.XLOOKUP(C5,企业简介提取!B:B,企业简介提取!F:F)</f>
        <v>予童家庭服务（BabyNanny），以“重塑美好育儿生态”为使命，专注为高净值家庭提供育婴照护、婴儿早教、孩童陪伴等服务。
作为高标准母婴护理及高质量家庭服务的坚定笃行者，予童为同样追求育儿品质的家庭，定制集育婴护理、入户指导和社群体验“三维一体”的婴童成长呵护方案，让育儿回归优雅和从容。以“百里挑一”的严苛标准遴选育婴师，打造迎合高端家庭需求的培塑实训，冀期予童的每一名育婴师，都能成为宝宝的温情……</v>
      </c>
      <c r="E5" t="str">
        <f>INDEX(_xlfn._xlws.FILTER(报名明细!$I:$I,报名明细!$B:$B=$C5),1)</f>
        <v>家庭育婴师（学历：大专 专业要求：护理,学前教育,助产）</v>
      </c>
      <c r="F5" t="str">
        <f>INDEX(_xlfn._xlws.FILTER(报名明细!$L:$L,报名明细!$B:$B=$C5),1)</f>
        <v>一、工作地点上海全市二、岗位职责-全面负责新生儿的生活照料，涵盖喂养、洗澡、抚触、更换尿布等环节，保障宝宝的清洁与舒适。-密切留意宝宝的生长发育状况，诸如身高、体重、睡眠、大小便等方面，一旦察觉异常立即向家长或医生反馈。-依据宝宝的年龄及发展阶段，精心制定科学合理的喂养计划与作息时间表，悉心培养宝宝良好的生活习惯。-开展早期教育与启蒙工作，借助游戏、互动等多种方式，推动宝宝的认知、语言、运动以及社交能力的发展。-承担宝宝衣物、用品的清洗与消毒工作，确保宝宝生活环境的整洁与卫生。-与家长保持高效且良好的沟通，深入了解家长的需求与关注重点，给予专业的育婴建议和指导。-协助家长妥善处理宝宝的其他相关事务，像就医、接种疫苗等。三、任职要求需要会做饭。持有专业的育婴师资格证书，例如育婴员职业资格证书等优先。具有早教中心、托育园、幼儿园实习经验者优先。对婴幼儿事业充满热爱，拥有爱心、耐心和责任心，具备良好的职业道德和素养。具备出色的沟通能力和团队协作精神，能够与家长及其他工作人员构建起良好的关系。身体健康，拥有良好的心理素质和抗压能力。具有一定的学习和创新能力，能够持续更新育婴知识和技能。</v>
      </c>
      <c r="G5" t="str">
        <f>INDEX(_xlfn._xlws.FILTER(报名明细!$I:$I,报名明细!$B:$B=$C5),2)</f>
        <v>家庭育婴师（学历：初中及以下 专业要求：学前教育,学前教育学,护理学,护理,护理学类,护理类,卫生教育,儿科学,妇幼保健医学,预防医学）</v>
      </c>
      <c r="H5" t="str">
        <f>INDEX(_xlfn._xlws.FILTER(报名明细!$L:$L,报名明细!$B:$B=$C5),2)</f>
        <v>可选择白班或住家1.全面负责新生儿的生活照料，涵盖喂养、洗澡、抚触、更换尿布等环节，保障宝宝的清洁与舒适。2.密切留意宝宝的生长发育状况，诸如身高、体重、睡眠、大小便等方面，一旦察觉异常立即向家长或医生反馈。3.依据宝宝的年龄及发展阶段，精心制定科学合理的喂养计划与作息时间表，悉心培养宝宝良好的生活习惯。4.开展早期教育与启蒙工作，借助游戏、互动等多种方式，推动宝宝的认知、语言、运动以及社交能力的发展。5.承担宝宝衣物、用品的清洗与消毒工作，确保宝宝生活环境的整洁与卫生。6.与家长保持高效且良好的沟通，深入了解家长的需求与关注重点，给予专业的育婴建议和指导。7.协助家长妥善处理宝宝的其他相关事务，像就医、接种疫苗等。任职要求对婴幼儿事业充满热爱，拥有爱心、耐心和责任心，具备良好的职业道德和素养。具备出色的沟通能力和团队协作精神，能够与家长及其他工作人员构建起良好的关系。身体健康，无传染性疾病，拥有良好的心理素质和抗压能力。具有一定的学习和创新能力，能够持续更新育婴知识和技能。有相关从业经验、实习经验者优先；护理专业、学前教育专业、婴幼儿托育专业优先；有乐器、舞蹈、声乐、英语、绘画等特长……</v>
      </c>
    </row>
    <row r="6" spans="1:8">
      <c r="A6" t="str">
        <f>_xlfn.XLOOKUP(C6,展区展位!A:A,展区展位!B:B)</f>
        <v>B互联网/电子/通信</v>
      </c>
      <c r="B6" t="str">
        <f>_xlfn.XLOOKUP(C6,展区展位!A:A,展区展位!C:C)</f>
        <v>B02</v>
      </c>
      <c r="C6" t="s">
        <v>121</v>
      </c>
      <c r="D6" t="str">
        <f>_xlfn.XLOOKUP(C6,企业简介提取!B:B,企业简介提取!F:F)</f>
        <v>中国电信股份有限公司上海莘闵电信局坐落于闵行区莘东路199号，简称莘闵电信局。前身为上海市电话局莘闵区局。2000年7月1日，中国电信集团上海市电信公司成立后，更名为上海市电信公司莘闵电信局； 2008年3月，更名为中国电信股份有限公司上海莘闵电信局。
中国电信股份有限公司上海莘闵电信局提供固定电话、移动通信、宽带互联网接入、互联网电视、卫星通信、信息化应用等泛在网络和综合智能信息服务能力，服务闵……</v>
      </c>
      <c r="E6" t="str">
        <f>INDEX(_xlfn._xlws.FILTER(报名明细!$I:$I,报名明细!$B:$B=$C6),1)</f>
        <v>门店经理见习生（学历：大专 专业要求：无）</v>
      </c>
      <c r="F6" t="str">
        <f>INDEX(_xlfn._xlws.FILTER(报名明细!$L:$L,报名明细!$B:$B=$C6),1)</f>
        <v>电信门店的整体运营与业绩达成，核心涵盖经营指标、团队管理、客户服务、营销与渠道协同、合规与风险控制等关键模块。</v>
      </c>
      <c r="G6" t="str">
        <f>INDEX(_xlfn._xlws.FILTER(报名明细!$I:$I,报名明细!$B:$B=$C6),2)</f>
        <v>装维见习生（学历：大专 专业要求：无）</v>
      </c>
      <c r="H6" t="str">
        <f>INDEX(_xlfn._xlws.FILTER(报名明细!$L:$L,报名明细!$B:$B=$C6),2)</f>
        <v>电信宽带、固定电话、IPTV等电信业务的安装与故障维修，同时承担客户沟通与网络简单维护任务。</v>
      </c>
    </row>
    <row r="7" spans="1:8">
      <c r="A7" t="str">
        <f>_xlfn.XLOOKUP(C7,展区展位!A:A,展区展位!B:B)</f>
        <v>C汽车/服装/贸易</v>
      </c>
      <c r="B7" t="str">
        <f>_xlfn.XLOOKUP(C7,展区展位!A:A,展区展位!C:C)</f>
        <v>C22</v>
      </c>
      <c r="C7" t="s">
        <v>141</v>
      </c>
      <c r="D7" t="str">
        <f>_xlfn.XLOOKUP(C7,企业简介提取!B:B,企业简介提取!F:F)</f>
        <v>上海羊鑫布艺有限公司是海派旗袍与新中式文化创新的时尚企业作为上海海派旗袍文化促进会副会长单位,公司以"致知青花"系列为代表,融合传统制衣工艺与现代设计,打造独具东方韵味的高级定制服饰。产品屡获长三角旗袍设计大赛银奖等殊荣,创始人杨玉娟女士获“东方时尚工匠”称号。公司通过时尚闪秀、文化展览等多元化形式,致力于传承和发展海派旗袍文化,推动传统服饰艺术的现代表达与创新发展。</v>
      </c>
      <c r="E7" t="str">
        <f>INDEX(_xlfn._xlws.FILTER(报名明细!$I:$I,报名明细!$B:$B=$C7),1)</f>
        <v>打样纸板师（学历：大专 专业要求：无）</v>
      </c>
      <c r="F7" t="str">
        <f>INDEX(_xlfn._xlws.FILTER(报名明细!$L:$L,报名明细!$B:$B=$C7),1)</f>
        <v>【岗位职责】负责服装款式的打板与制版工作：根据设计师提供的效果图、设计稿或样衣，精准制作纸样（含裁剪版、工艺版），确保版型符合设计风格与人体工学。样衣跟进与调整：配合样衣车间完成首件样衣制作，参与样衣试穿评审，根据试穿反馈（如尺寸偏差、版型舒适度）优化纸样，直至样衣合格。工艺文件输出：整理打板数据，制定详细的制版工艺说明（如缝份、缩率、面料特性适配方案），为生产车间提供清晰的技术指导。版型库管理：建立并维护公司版型数据库，分类归档不同款式、尺码的纸样文件，便于后续款式复用与优化。跨部门协作：与设计师、采购部（确认面料特性）、生产部（解决生产中的版型问题）高效配合，确保打板-制版-生产流程顺畅。【任职要求】学历与经验：中专及以上学历，服装相关专业（如服装工程、服装设计），1-3年及以上服装打板/制版经验（应届生可投递助理岗，需熟悉基础打板逻辑）。核心技能：熟练掌握手工打板技巧，能独立完成从净版到毛版的制作；精通制版软件（如富怡、ET、格柏Gerber等），可高效进行数字化制版与纸样修改；了解不同面料特性（如棉、丝、针织、弹力面料）对版型的影响，能针对性调整打板方案；熟悉服装号型标准（如G……</v>
      </c>
      <c r="G7" t="str">
        <f>INDEX(_xlfn._xlws.FILTER(报名明细!$I:$I,报名明细!$B:$B=$C7),2)</f>
        <v>销售（学历：大专 专业要求：无）</v>
      </c>
      <c r="H7" t="str">
        <f>INDEX(_xlfn._xlws.FILTER(报名明细!$L:$L,报名明细!$B:$B=$C7),2)</f>
        <v>岗位职责：·顾客服务与销售：·热情接待每一位顾客，提供专业、耐心的咨询和穿搭建议。·洞察顾客需求，达成销售目标，并积极维护客户关系。·处理顾客的疑问和售后问题，提升顾客购物满意度。·店铺日常运营：·负责商品收货、盘点、陈列、补货和库存管理。·保持店铺环境整洁、美观，营造舒适的购物氛围。·熟练操作收银系统，完成每日销售结算工作。·团队协作：·与团队成员紧密合作，共同完成店铺销售目标和各项任务。·积极参与公司培训和团队会议，分享销售技巧和时尚资讯。·品牌形象维护：·以身作则，展现品牌的时尚形象和专业素养。·及时反馈市场信息和顾客意见，助力品牌成长。任职要求：·必备条件：·热爱时尚行业，对服装搭配有浓厚的兴趣和独特的见解。·性格开朗，具有良好的沟通表达能力和服务意识。·积极主动，有责任心，具备良好的团队合作精神。·能适应零售业周末、节假日的工作安排。·优先考虑：·有服装零售或相关销售工作经验者优先。·具备一定的抗压能力和目标导向思维。</v>
      </c>
    </row>
    <row r="8" spans="1:8">
      <c r="A8" t="str">
        <f>_xlfn.XLOOKUP(C8,展区展位!A:A,展区展位!B:B)</f>
        <v>E城市运营与技术服务</v>
      </c>
      <c r="B8" t="str">
        <f>_xlfn.XLOOKUP(C8,展区展位!A:A,展区展位!C:C)</f>
        <v>E15</v>
      </c>
      <c r="C8" t="s">
        <v>155</v>
      </c>
      <c r="D8" t="str">
        <f>_xlfn.XLOOKUP(C8,企业简介提取!B:B,企业简介提取!F:F)</f>
        <v>“和我们共创无限可能的未来”
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v>
      </c>
      <c r="E8" t="str">
        <f>INDEX(_xlfn._xlws.FILTER(报名明细!$I:$I,报名明细!$B:$B=$C8),1)</f>
        <v>智能建筑工程实习生（学历：大专 专业要求：建筑智能化工程技术）</v>
      </c>
      <c r="F8" t="str">
        <f>INDEX(_xlfn._xlws.FILTER(报名明细!$L:$L,报名明细!$B:$B=$C8),1)</f>
        <v>通过参与智能建筑工程全流程（设计辅助、现场实施、调试配合、文档整理等）工作，帮助实习生掌握智能建筑系统（如楼宇自控、安防监控、综合布线等）的基本原理与实际应用，熟悉工程现场管理流程，培养工程实践能力与问题解决意识，为未来从事智能建筑相关工作奠定基础。</v>
      </c>
      <c r="G8" t="str">
        <f>INDEX(_xlfn._xlws.FILTER(报名明细!$I:$I,报名明细!$B:$B=$C8),2)</f>
        <v>管理培训生（学历：大专 专业要求：无）</v>
      </c>
      <c r="H8" t="str">
        <f>INDEX(_xlfn._xlws.FILTER(报名明细!$L:$L,报名明细!$B:$B=$C8),2)</f>
        <v>1、总部职能岗位管理培训生：服务管控中心、品质管控中心、企业发展中心、财务管理部、综合管理部和人力资源部管理培训生；2、运营岗位管理培训生：上海各项目基础管理岗位管理培训生即项目运营条线秩序维护、工程管理、客户服务、环境管理和综合管理岗位管理培训生。岗位需求：根据公司发展不断扩大，为了更好提升管理团队的综合素养，也为了更好的对职能和项目管理人员进行补充，特拟定自2022年10月起启动招聘“新瑞”计划，即招收20名应届毕业生，具体要求如下：1、有志于从事物业管理行业；2、男女不限、形象良好，较强的沟通和表达能力；思维活跃，有较强的创新意识；有责任心，适应能力和抗压性强，3、有一定的文书编写能力，熟练操作各类电脑软件如PPT、PHOTOSHOP等；4、专业不限、户籍不限，除工程类“新瑞”需要对口机电类、工程技术类专业外；5、本科以上，985，211院校可优先考虑，条件特别优秀者可放宽至应届大专毕业生。如经面试录取后实习期为2023年2月起至2023年6月30日，经实习期评估合格可签订正式劳动合同，签订正式劳动岗位职级不低于主管级。工作内容：通过在总部、区域、项目的轮岗学习，对职能人力行政、……</v>
      </c>
    </row>
    <row r="9" spans="1:8">
      <c r="A9" t="str">
        <f>_xlfn.XLOOKUP(C9,展区展位!A:A,展区展位!B:B)</f>
        <v>B互联网/电子/通信</v>
      </c>
      <c r="B9" t="str">
        <f>_xlfn.XLOOKUP(C9,展区展位!A:A,展区展位!C:C)</f>
        <v>B16</v>
      </c>
      <c r="C9" t="s">
        <v>162</v>
      </c>
      <c r="D9" t="str">
        <f>_xlfn.XLOOKUP(C9,企业简介提取!B:B,企业简介提取!F:F)</f>
        <v>  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
   作为长三角文旅产业联盟会员单位、教育部职教工场项目白名单企业，图萌科技拥有计算机软件著作权登记证书、上海电……</v>
      </c>
      <c r="E9" t="str">
        <f>INDEX(_xlfn._xlws.FILTER(报名明细!$I:$I,报名明细!$B:$B=$C9),1)</f>
        <v>平面设计（学历：大专 专业要求：视觉传达设计）</v>
      </c>
      <c r="F9" t="str">
        <f>INDEX(_xlfn._xlws.FILTER(报名明细!$L:$L,报名明细!$B:$B=$C9),1)</f>
        <v>岗位职责1、负责公司宣传材料、册页等的设计与整合。2、精通PS、AI等设计软件。3、参与设计讨论，和业务团队共同创建用户界面，跟踪设计效果，提出设计优化方案。4、良好的团队精神，工作踏实稳定。岗位要求1、全日制大专或以上学历，艺术设计类相关专业毕业。2、有实习经验者优先，能独立完成设计方案。3、会使用CAD做平面布局图者优先。4、会渲染三维效果图者优先。</v>
      </c>
      <c r="G9" t="str">
        <f>INDEX(_xlfn._xlws.FILTER(报名明细!$I:$I,报名明细!$B:$B=$C9),2)</f>
        <v>AI虚拟数字人拍摄制作专员（学历：大专 专业要求：无）</v>
      </c>
      <c r="H9" t="str">
        <f>INDEX(_xlfn._xlws.FILTER(报名明细!$L:$L,报名明细!$B:$B=$C9),2)</f>
        <v>岗位职责:1、负责AI虚拟数字人的形象设计、动态捕捉及视频拍摄全流程制作，包括前期策划、场景搭建、灯光调试等。2、使用动作捕捉设备(如光学/惯性动捕系统)、面部表情捕捉技术等，完成数字人的高精度动作与表情数据采集。3、配合A|算法团队，优化数字人的语音、表情、肢体动作的同步性与自然度提升拟真效果。4、负责虚拟拍摄现场的设备调试(如摄像机追踪、虚拟引擎实时渲染等)，确保拍摄效率与质量。5、跟踪行业技术趋势，探索A数字人在直播、短视频、影视等领域的创新应用场景。岗位要求:1、熟悉虚拟制作流程，有动作捕捉(如Vicon、OptiTrack)、面部捕捉(如Faceware、iPhoneARKit)或影视拍摄经验。2、掌握至少一款3D制作工具(如Blender、Maya、UnrealEngine、Unity)能完成基础模型调整与场景搭建。3、了解A|数字人相关技术(如语音合成、TTS、NLP)，有AI工具(如D-D、Synthesia)使用经验者优先。4、具备良好的镜头语言和审美能力，能独立完成脚本分镜设计及后期剪辑(熟悉Premiere、DaVinci等)。</v>
      </c>
    </row>
    <row r="10" spans="1:8">
      <c r="A10" t="str">
        <f>_xlfn.XLOOKUP(C10,展区展位!A:A,展区展位!B:B)</f>
        <v>A机械/制造/能源</v>
      </c>
      <c r="B10" t="str">
        <f>_xlfn.XLOOKUP(C10,展区展位!A:A,展区展位!C:C)</f>
        <v>A26</v>
      </c>
      <c r="C10" t="s">
        <v>238</v>
      </c>
      <c r="D10" t="str">
        <f>_xlfn.XLOOKUP(C10,企业简介提取!B:B,企业简介提取!F:F)</f>
        <v>上海味捷智朗科技发展有限公司是熙香科技集团重要子公司之一。集团始创于2014年，是国内领先的人工智能科技企业，国内首家落地的生活服务机器人系统解决方案的服务商，公司致力于借助人工智能、物联网、大数据等技术，激发出更具交互性、智能化和安全的生活服务新业态，通过将物AI+技术应用于生活服务领域，建立智能服务一体化、作业机械无人化、需求定制自动化的“两化一体”模式，实现数据驱动的的精细化运营。公司相关智……</v>
      </c>
      <c r="E10" t="str">
        <f>INDEX(_xlfn._xlws.FILTER(报名明细!$I:$I,报名明细!$B:$B=$C10),1)</f>
        <v>机械电工（学历：大专 专业要求：机械工程,机械设计制造及其自动化,机械制造及其自动化,机械电子工程）</v>
      </c>
      <c r="F10" t="str">
        <f>INDEX(_xlfn._xlws.FILTER(报名明细!$L:$L,报名明细!$B:$B=$C10),1)</f>
        <v>本岗位要求:1、3年以上非标自动化设备电气装配，有低压电工证，2、能看懂图纸3、会布线排线，会对点4、熟悉电气控制柜排布、电气元器件功能;5、熟练掌握电工的基本操作技能和工具6、能接受加班，能接受短期、临时出差</v>
      </c>
      <c r="G10" t="str">
        <f>INDEX(_xlfn._xlws.FILTER(报名明细!$I:$I,报名明细!$B:$B=$C10),2)</f>
        <v>高级java开发工程师（学历：大专 专业要求：计算机科学与技术,电子与计算机工程,计算机网络技术,计算机应用技术,计算机应用工程）</v>
      </c>
      <c r="H10" t="str">
        <f>INDEX(_xlfn._xlws.FILTER(报名明细!$L:$L,报名明细!$B:$B=$C10),2)</f>
        <v>岗位职责1.参与公司产品或项目的需求分析、设计与开发，根据业务需求完成高质量代码编写，实现系统功能模块；2.负责后端系统的架构设计、搭建与优化，确保系统的稳定性、性能和可扩展性，保障系统高效稳定运行；3.与前端开发团队紧密协作，定义数据接口规范，完成前后端数据交互开发，确保项目整体功能的完整性和流畅性；4.进行数据库设计、优化和维护，熟练编写SQL语句，处理复杂的数据操作和事务管理，保障数据的准确性和安全性；5.编写详细准确的技术文档，包括设计文档、接口文档、使用说明等，为团队协作和系统维护提供支持6.独立解决和处理所负责的项目的运维和监控，及时处理生产环境中的故障和问题，保障系统的可用性和稳定性；7.持续关注行业技术发展趋势，引入新技术、新工具，优化现有技术方案和开发流程，提升团队技术水平和开发效率。任职要求1.专科及以上学历，计算机科学与技术、软件工程、机械、自动化等相关专业优先。2.具有5年以上Java开发经验，有完整的项目开发经验，能够独立承担模块开发任务3.扎实的Java基础知识，熟悉常用设计模式，对多线程、并发编程、JVM原理及调优有深入理解。4.熟练掌握Spring、Sp……</v>
      </c>
    </row>
    <row r="11" spans="1:8">
      <c r="A11" t="str">
        <f>_xlfn.XLOOKUP(C11,展区展位!A:A,展区展位!B:B)</f>
        <v>F综合</v>
      </c>
      <c r="B11" t="str">
        <f>_xlfn.XLOOKUP(C11,展区展位!A:A,展区展位!C:C)</f>
        <v>F03</v>
      </c>
      <c r="C11" t="s">
        <v>282</v>
      </c>
      <c r="D11" t="str">
        <f>_xlfn.XLOOKUP(C11,企业简介提取!B:B,企业简介提取!F:F)</f>
        <v>上海市闵行区医疗急救中心隶属于上海市闵行区卫生健康委员会，是区内唯一从事院前急救专业的公立医疗卫生事业单位。承担了闵行区内272万人口的院前急救、危急重病症初步诊治与抢救护理。职责还包括急救临床教学、急救医学科研、急救卫生技术人员培训和区域重特大事故现场紧急救援以及大型赛事活动现场医疗保障等工作。</v>
      </c>
      <c r="E11" t="str">
        <f>INDEX(_xlfn._xlws.FILTER(报名明细!$I:$I,报名明细!$B:$B=$C11),1)</f>
        <v>院前急救辅助人员（学历：大专 专业要求：无）</v>
      </c>
      <c r="F11" t="str">
        <f>INDEX(_xlfn._xlws.FILTER(报名明细!$L:$L,报名明细!$B:$B=$C11),1)</f>
        <v>1.协助急救医生做好现场医疗急救工作；2.承担病人的抬抱转运工作；3.协助急救驾驶员做好安全行车、车辆卫生及其他辅助性工作。</v>
      </c>
      <c r="G11" t="str">
        <f>INDEX(_xlfn._xlws.FILTER(报名明细!$I:$I,报名明细!$B:$B=$C11),2)</f>
        <v>急救医师（学历：本科 专业要求：临床医学）</v>
      </c>
      <c r="H11" t="str">
        <f>INDEX(_xlfn._xlws.FILTER(报名明细!$L:$L,报名明细!$B:$B=$C11),2)</f>
        <v>院前急救、危急重病症初步诊治与抢救护理</v>
      </c>
    </row>
    <row r="12" spans="1:8">
      <c r="A12" t="str">
        <f>_xlfn.XLOOKUP(C12,展区展位!A:A,展区展位!B:B)</f>
        <v>B互联网/电子/通信</v>
      </c>
      <c r="B12" t="str">
        <f>_xlfn.XLOOKUP(C12,展区展位!A:A,展区展位!C:C)</f>
        <v>B10</v>
      </c>
      <c r="C12" t="s">
        <v>286</v>
      </c>
      <c r="D12" t="str">
        <f>_xlfn.XLOOKUP(C12,企业简介提取!B:B,企业简介提取!F:F)</f>
        <v>博赫尔（POHIR）科技集团是一家全球智能化清洁清洗解决方案提供商和服
务商，POHIR博赫尔品牌起源于上个世纪90年代的德国，经过近20多年的发展
和不断创新，POHIR博赫尔在全球已覆盖了北美，欧洲，东南亚等全球50多个
国家或地区，并为全球30万+客户提供清洁清洗设备解决方案。
在欧洲，博赫尔（POHIR）分别在德国、法国等地设有2个仓储运营服务中
心和1个产品设计研发中心。在北美，博赫尔（……</v>
      </c>
      <c r="E12" t="str">
        <f>INDEX(_xlfn._xlws.FILTER(报名明细!$I:$I,报名明细!$B:$B=$C12),1)</f>
        <v>电商客服（学历：大专 专业要求：电子商务类）</v>
      </c>
      <c r="F12" t="str">
        <f>INDEX(_xlfn._xlws.FILTER(报名明细!$L:$L,报名明细!$B:$B=$C12),1)</f>
        <v>岗位职责：1、通过聊天工具完成平台的售前客户咨询接待；2、负责跟进订单、异常件管理；3、服从安排，负责其它售后问题及突发事件。4、打字速度50字/分钟以上；岗位要求：1、经验不限；2、做6休1，国定假期正常放假。公司提供完善的培训、轮岗、转岗及晋升机会！</v>
      </c>
      <c r="G12" t="str">
        <f>INDEX(_xlfn._xlws.FILTER(报名明细!$I:$I,报名明细!$B:$B=$C12),2)</f>
        <v>跨境电商运营助理（学历：本科 专业要求：跨境电子商务）</v>
      </c>
      <c r="H12" t="str">
        <f>INDEX(_xlfn._xlws.FILTER(报名明细!$L:$L,报名明细!$B:$B=$C12),2)</f>
        <v>岗位职责:1.参与跨境电商平台（亚马逊、eBay、独立站等）的运营活动，包括但不限于产品发布、活动策划与执行；2.进行市场数据分析，了解行业趋势，调整运营策略以满足市场需求；3.与团队协作，开发新的销售渠道，提升产品曝光率和销量；4.管理和优化产品列表，确保产品信息的准确性和吸引力；5.监控运营指标，及时调整运营计划以达到销售目标。任职要求：1.对跨境电商行业感兴趣，具备基本的市场分析能力；2.具备创新思维，能够不断提出和实施新的运营思路。3、大学本科在读学生，英语好.</v>
      </c>
    </row>
    <row r="13" spans="1:8">
      <c r="A13" t="str">
        <f>_xlfn.XLOOKUP(C13,展区展位!A:A,展区展位!B:B)</f>
        <v>F综合</v>
      </c>
      <c r="B13" t="str">
        <f>_xlfn.XLOOKUP(C13,展区展位!A:A,展区展位!C:C)</f>
        <v>F02</v>
      </c>
      <c r="C13" t="s">
        <v>347</v>
      </c>
      <c r="D13" t="str">
        <f>_xlfn.XLOOKUP(C13,企业简介提取!B:B,企业简介提取!F:F)</f>
        <v>       上海上勤高级楼宇管理有限公司，隶属于上海市机关事务管理局委托管理的国有独资企业，一直从事市人大和市政府等机关后勤服务保障工作。
       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v>
      </c>
      <c r="E13" t="str">
        <f>INDEX(_xlfn._xlws.FILTER(报名明细!$I:$I,报名明细!$B:$B=$C13),1)</f>
        <v>工程助理（物业维修电工）（学历：中专/技校 专业要求：无）</v>
      </c>
      <c r="F13" t="str">
        <f>INDEX(_xlfn._xlws.FILTER(报名明细!$L:$L,报名明细!$B:$B=$C13),1)</f>
        <v>机关项目，做五休二（晚间有轮流安排夜值班）岗位要求：1、年龄50岁以下，经验丰富者可适当放宽。2、至少须持有低压电工证、职业资格证书（维修电工初级/五级），能独立动手操作。3、须有高度的工作责任心、良好的沟通能力、有较强的团队意识。4、有酒店、办公楼等物业工作经验优先。</v>
      </c>
      <c r="G13" t="str">
        <f>INDEX(_xlfn._xlws.FILTER(报名明细!$I:$I,报名明细!$B:$B=$C13),2)</f>
        <v>会务助理（学历：中专/技校 专业要求：无）</v>
      </c>
      <c r="H13" t="str">
        <f>INDEX(_xlfn._xlws.FILTER(报名明细!$L:$L,报名明细!$B:$B=$C13),2)</f>
        <v>工作地址：浦东新区张江丹桂路999弄张江国创中心1期岗位职责1、负责前台接待，访客登记、快递收发等；2、负责会务保障，包括会前准备、会中续水、会后收尾工作等；3、其他相关事务性协助工作。任职资格1、中专以上学历；2、熟练使用Office办公软件及办公自动化设备，普通话标准，能听懂上海话；3、具有良好的沟通、协调、表达能力，性格沉稳、待人礼貌周到，服务意识强；4、女性，年龄：18-35，身高：165以上，身材匀称，面容较好。</v>
      </c>
    </row>
    <row r="14" spans="1:8">
      <c r="A14" t="str">
        <f>_xlfn.XLOOKUP(C14,展区展位!A:A,展区展位!B:B)</f>
        <v>E城市运营与技术服务</v>
      </c>
      <c r="B14" t="str">
        <f>_xlfn.XLOOKUP(C14,展区展位!A:A,展区展位!C:C)</f>
        <v>E17</v>
      </c>
      <c r="C14" t="s">
        <v>392</v>
      </c>
      <c r="D14" t="str">
        <f>_xlfn.XLOOKUP(C14,企业简介提取!B:B,企业简介提取!F:F)</f>
        <v>上海迪麦科能源科技有限公司是专业的暖通自控BA系统技术服务商，美国ALC公司（美国开利Carrier空调全资子公司）长期合作伙伴。专注于以中央空调系统为主的机电设备自控和节能管理，已经完成大量的T3、T4级别的大型数据中心项目。
隶属于美国开利Carrier空调的ALC公司研发的WebCTRL系统是暖通自控BA行业最先进的系统之一，结合迪麦科公司多年的工程实践经验、强大的专业技术团队和大量数据中心……</v>
      </c>
      <c r="E14" t="str">
        <f>INDEX(_xlfn._xlws.FILTER(报名明细!$I:$I,报名明细!$B:$B=$C14),1)</f>
        <v>助理工程师（学历：大专 专业要求：建筑电气与智能化,建筑智能化工程技术,供热通风与空调工程技术,制冷与空调技术）</v>
      </c>
      <c r="F14" t="str">
        <f>INDEX(_xlfn._xlws.FILTER(报名明细!$L:$L,报名明细!$B:$B=$C14),1)</f>
        <v>现招聘常驻上海、南通、杭州、广东河源、北京、河北廊坊等地的若干技术人员，要求如下：1)大专以上学历，智能化、自动化、机电一体化、暖通空调、制冷等相关专业毕业；2)有1~2年以上的实际工作经验（应届毕业生无工作经验要求）；3)熟练掌握CAD设计和Office办公软件的应用；4)有志向在大型数据中心行业长期发展；5)吃苦耐劳，有长时间在施工工地艰苦环境下工作和学习的心里准备；岗位职责：1、负责楼宇自控系统的安装、调试与维护工作；2、熟悉并能够处理常见的楼宇自控设备问题，确保系统稳定运行；3、参与楼宇自控项目的实施，提供技术支持和解决方案。</v>
      </c>
      <c r="G14" t="str">
        <f>INDEX(_xlfn._xlws.FILTER(报名明细!$I:$I,报名明细!$B:$B=$C14),2)</f>
        <v>助理工程师（学历：大专 专业要求：建筑电气与智能化,建筑智能化工程技术,制冷与空调技术,供热、供燃气、通风及空调工程）</v>
      </c>
      <c r="H14" t="str">
        <f>INDEX(_xlfn._xlws.FILTER(报名明细!$L:$L,报名明细!$B:$B=$C14),2)</f>
        <v>现招聘常驻上海、南通、杭州、广东河源、北京、河北廊坊等地的若干技术人员，要求如下：1)大专以上学历，智能化、自动化、机电一体化、暖通空调、制冷等相关专业毕业；2)有1~2年以上的实际工作经验（应届毕业生无工作经验要求）；3)熟练掌握CAD设计和Office办公软件的应用；4)有志向在大型数据中心行业长期发展；5)吃苦耐劳，有长时间在施工工地艰苦环境下工作和学习的心里准备；岗位职责：1、负责楼宇自控系统的安装、调试与维护工作；2、熟悉并能够处理常见的楼宇自控设备问题，确保系统稳定运行；3、参与楼宇自控项目的实施，提供技术支持和解决方案。</v>
      </c>
    </row>
    <row r="15" spans="1:8">
      <c r="A15" t="str">
        <f>_xlfn.XLOOKUP(C15,展区展位!A:A,展区展位!B:B)</f>
        <v>A机械/制造/能源</v>
      </c>
      <c r="B15" t="str">
        <f>_xlfn.XLOOKUP(C15,展区展位!A:A,展区展位!C:C)</f>
        <v>A07</v>
      </c>
      <c r="C15" t="s">
        <v>459</v>
      </c>
      <c r="D15" t="str">
        <f>_xlfn.XLOOKUP(C15,企业简介提取!B:B,企业简介提取!F:F)</f>
        <v>    上海新力动力设备研究所是集固体发动机、特种发动机技术研究与型号研制、批产、试验于一身的专业研究所，具有中、小型固体发动机设计、研制、批产等完备的科研能力。全所分为两个部分：上海本部座落于上海市闵行区航天城内，主要承担发动机总体及组件结构设计，金属、非金属件加工、零组件配套；湖州基地座落于浙江省湖州市南郊，主要承担发动机推进剂、绝热层配方设计，发动机装药，发动机总装和试验。
    多年来始……</v>
      </c>
      <c r="E15" t="str">
        <f>INDEX(_xlfn._xlws.FILTER(报名明细!$I:$I,报名明细!$B:$B=$C15),1)</f>
        <v>机电维修（学历：大专 专业要求：无）</v>
      </c>
      <c r="F15" t="str">
        <f>INDEX(_xlfn._xlws.FILTER(报名明细!$L:$L,报名明细!$B:$B=$C15),1)</f>
        <v>机电维修、高压电工值班等工作，并完成领导领导交办的其他任务</v>
      </c>
      <c r="G15" t="str">
        <f>INDEX(_xlfn._xlws.FILTER(报名明细!$I:$I,报名明细!$B:$B=$C15),2)</f>
        <v>设计师（学历：博士 专业要求：无）</v>
      </c>
      <c r="H15" t="str">
        <f>INDEX(_xlfn._xlws.FILTER(报名明细!$L:$L,报名明细!$B:$B=$C15),2)</f>
        <v>1、协作完成重点基础研究项目或者新技术研究项目的论证工作；2、负责新型固体动力总体方案论证与系统设计；3、承担项目技术攻关工作，负责项目方案实施过程中方案设计与试验工作；4、完成项目实施不同阶段和节点总结，以及项目成果总结；5、参与项目相关技术及工作资料的编写与整理，完成相关文档编纂与知识产权的申报。</v>
      </c>
    </row>
    <row r="16" spans="1:8">
      <c r="A16" t="str">
        <f>_xlfn.XLOOKUP(C16,展区展位!A:A,展区展位!B:B)</f>
        <v>A机械/制造/能源</v>
      </c>
      <c r="B16" t="str">
        <f>_xlfn.XLOOKUP(C16,展区展位!A:A,展区展位!C:C)</f>
        <v>A03</v>
      </c>
      <c r="C16" t="s">
        <v>474</v>
      </c>
      <c r="D16" t="str">
        <f>_xlfn.XLOOKUP(C16,企业简介提取!B:B,企业简介提取!F:F)</f>
        <v>八〇四所，地处上海闵行航天城内，拥有上海微波遥感工程技术研究中心、八院制导雷达技术与智能计算技术重点实验室等研发平台，设有博士后科研工作站，是硕士研究生培养单位、上海市高新技术企业、上海市文明单位。先后荣获国家科学技术进步特等奖、国防科工局科技成果一等奖等部（市）级以上科技成果奖300余项、专利近500项，2012年荣获“全国五一劳动奖状”。现有职工1800余人，专业技术人员占80%，历年来享受国……</v>
      </c>
      <c r="E16" t="str">
        <f>INDEX(_xlfn._xlws.FILTER(报名明细!$I:$I,报名明细!$B:$B=$C16),1)</f>
        <v>电讯装配岗（大专实习）（学历：大专 专业要求：无）</v>
      </c>
      <c r="F16" t="str">
        <f>INDEX(_xlfn._xlws.FILTER(报名明细!$L:$L,报名明细!$B:$B=$C16),1)</f>
        <v>岗位职责：按照装配图纸和制程工艺进行印制板、元器件的手工电讯装配；对电子元器件、印制板、电缆、机柜等进行检验。岗位要求：1.具有较好的电路知识；2.具有一定的动手能力；3.工作细致、责任心强，身体健康、能吃苦耐劳；4.具有良好团队意识和沟通协调能力；5.具有无线电装调类职业资格证书优先。</v>
      </c>
      <c r="G16" t="str">
        <f>INDEX(_xlfn._xlws.FILTER(报名明细!$I:$I,报名明细!$B:$B=$C16),2)</f>
        <v>钳工装配岗（大专实习）（学历：大专 专业要求：无）</v>
      </c>
      <c r="H16" t="str">
        <f>INDEX(_xlfn._xlws.FILTER(报名明细!$L:$L,报名明细!$B:$B=$C16),2)</f>
        <v>岗位职责：熟悉设计文件和工艺文件，检查操作设备及工量具使用状态良好，执行工艺纪律文明生产和安全生产，做好原始记录，协调处理生产过程发生的问题。工作内容：了解型号产品结构原理，完成零部件、插箱、组合、机柜、传动装置、系统结构的机械装配。</v>
      </c>
    </row>
    <row r="17" spans="1:8">
      <c r="A17" t="str">
        <f>_xlfn.XLOOKUP(C17,展区展位!A:A,展区展位!B:B)</f>
        <v>D教育/传媒/电竞</v>
      </c>
      <c r="B17" t="str">
        <f>_xlfn.XLOOKUP(C17,展区展位!A:A,展区展位!C:C)</f>
        <v>D24</v>
      </c>
      <c r="C17" t="s">
        <v>485</v>
      </c>
      <c r="D17" t="str">
        <f>_xlfn.XLOOKUP(C17,企业简介提取!B:B,企业简介提取!F:F)</f>
        <v>菁茼（上海）教育科技有限公司｜致年轻伙伴的一封信
嘿，未来的“电竞筑梦人”：
我们是菁茼（上海）教育科技——一群深耕电竞产业的“玩家”，也是一群想为年轻人搭舞台的“造梦者”。
如果你问我们是谁？
我们是​​电竞教育领域的“实战派”​​：和20+高校深度合作，把课堂搬到真实赛场，带学生边学赛事策划、电竞运营，边参与千万级流量赛事执行；从游戏解说到数据分析师，我们用产业需求定义“人才标准”。
我们是​……</v>
      </c>
      <c r="E17" t="str">
        <f>INDEX(_xlfn._xlws.FILTER(报名明细!$I:$I,报名明细!$B:$B=$C17),1)</f>
        <v>课程专员（学历：初中及以下 专业要求：无）</v>
      </c>
      <c r="F17" t="str">
        <f>INDEX(_xlfn._xlws.FILTER(报名明细!$L:$L,报名明细!$B:$B=$C17),1)</f>
        <v>菁茼（上海）教育科技｜课程专员（电竞教育方向）职位描述工作地点：上海（总部，需定期赴合作院校/企业调研）汇报对象：电竞教育课程研发负责人核心职责1.课纲与教材开发的辅助支持​•协助课程组专家完成电竞课纲/教材的基础搭建：根据专家确定的课程方向（如“电竞运营”“赛事解说”），收集行业资料（赛事规则、企业岗位JD、最新游戏版本更新等），整理成结构化素材包供专家参考；•参与教材初稿的内容校对与优化：协助检查教材逻辑连贯性、案例时效性（如替换过时赛事数据为新赛季案例），标注学生易混淆知识点，配合专家完成一轮轮修订；•跟踪课程试点反馈：协助专家收集合作院校的课堂反馈（如学生提问高频点、教师教学难点），整理成《课程优化建议清单》，为专家迭代内容提供数据支撑。2.院校与企业需求的翻译与传递​•对接合作院校的教师与学生：通过访谈、问卷收集教学痛点（如“学生缺乏赛事执行实操机会”“理论课太枯燥”），转化为专家能理解的“需求关键词”（如“增加沙盘模拟环节”“插入短视频制作案例”）；•对接用人企业（如电竞俱乐部、直播平台）的HR与业务负责人：梳理企业真实岗位技能要求（如“赛事直播控场能力”“俱乐部舆情管理能……</v>
      </c>
      <c r="G17" t="str">
        <f>INDEX(_xlfn._xlws.FILTER(报名明细!$I:$I,报名明细!$B:$B=$C17),2)</f>
        <v>院校拓展助理（学历：初中及以下 专业要求：无）</v>
      </c>
      <c r="H17" t="str">
        <f>INDEX(_xlfn._xlws.FILTER(报名明细!$L:$L,报名明细!$B:$B=$C17),2)</f>
        <v>菁茼（上海）教育科技｜院校拓展助理（电竞教育方向）职位描述工作地点：BASE上海，覆盖5城：株洲、珠海、滨州、苏州、成都（需频繁出差）汇报对象：电竞教育板块区域负责人核心职责​1.目标院校开发与关系维护​•负责湖南株洲、广东珠海、山东滨州、江苏苏州、四川成都5地目标院校（民办职校/中专/技校/大专为主）的拓展与对接；•深入调研院校需求（如专业共建、兴趣班开设、学生就业出口等），结合菁茼电竞教育资源（课程体系、职业认证、企业实习等），定制“院校-企业”合作方案；•维护院校高层、二级学院院长、专业带头人等关键决策人关系，定期拜访并推进合作进度。2.电竞专业/兴趣班合作落地​•推动院校与菁茼签订《电竞专业共建协议》或《兴趣班合作协议》，协调完成课程大纲制定、教材引入、师资培训（公司提供职业讲师+高校教师双轨支持）等前期筹备；•配合院校完成招生指标，设计“电竞专业/兴趣班”专属招生简章，协同高校开展线上线下宣讲（如校园讲座、电竞体验赛、企业导师进课堂等活动）；•跟进合作项目全周期：从签约到开班、教学执行（协调公司师资/设备/赛事资源）、学生实习就业（对接公司合作企业资源）至口碑反馈，确保合作质……</v>
      </c>
    </row>
    <row r="18" spans="1:8">
      <c r="A18" t="str">
        <f>_xlfn.XLOOKUP(C18,展区展位!A:A,展区展位!B:B)</f>
        <v>F综合</v>
      </c>
      <c r="B18" t="str">
        <f>_xlfn.XLOOKUP(C18,展区展位!A:A,展区展位!C:C)</f>
        <v>F06</v>
      </c>
      <c r="C18" t="s">
        <v>505</v>
      </c>
      <c r="D18" t="str">
        <f>_xlfn.XLOOKUP(C18,企业简介提取!B:B,企业简介提取!F:F)</f>
        <v>上海仕派鸣进出口贸易有限公司成立于2009年01月14日，注册地位于浦东新区杨新东路。经营范围包括一般项目：货物进出口，技术进出口</v>
      </c>
      <c r="E18" t="str">
        <f>INDEX(_xlfn._xlws.FILTER(报名明细!$I:$I,报名明细!$B:$B=$C18),1)</f>
        <v>服装外贸业务助理（学历：大专 专业要求：纺织服装类）</v>
      </c>
      <c r="F18" t="str">
        <f>INDEX(_xlfn._xlws.FILTER(报名明细!$L:$L,报名明细!$B:$B=$C18),1)</f>
        <v>服装外贸业务助理，综合薪水6-8K，欢迎推荐。岗位职责：1、协助外贸业务员做简单的订单跟进表及进度；2、协助外贸业务员跟踪内部生产、订单协调、货物跟踪等事项；3、协助外贸业务员对产品辅料的订购下单及付款事项4、上级交代的其他工作。5、英语cet4任职条件1、大专或以上学历，2、具备较强的学习能力，熟练Word、Excel等办公软件；3、做事沉稳，细心，有耐心，诚实</v>
      </c>
      <c r="G18" t="str">
        <f>INDEX(_xlfn._xlws.FILTER(报名明细!$I:$I,报名明细!$B:$B=$C18),2)</f>
        <v>服装开发助理（学历：大专 专业要求：服装与服饰设计）</v>
      </c>
      <c r="H18" t="str">
        <f>INDEX(_xlfn._xlws.FILTER(报名明细!$L:$L,报名明细!$B:$B=$C18),2)</f>
        <v>岗位要求：1.熟悉国内外各大服装流行网站,能够在各大服装网站上寻找畅销的女装爆版。2.眼光时尚敏锐，熟悉各季度的流行趋势。3.能够协助各部门跟单和开发组长做好全球客人的面辅料开发4.了解潮流时尚休闲服装产品结构,成本结构、工艺制作,了解面辅料特性及成分。5.能够看懂基本的英文资料任职资格：1.会简单的服装平拍挂拍拍摄2.会PPT制作以及PS.AI使用3.性格乐观外向，愿意并擅于与人沟通，有团队精神4.对女装有兴趣，懂得基本服装常识5.思维活跃,时尚触觉敏锐;6.工作积极，有开拓精神7.年龄24-30岁，可接受应届毕业生</v>
      </c>
    </row>
    <row r="19" spans="1:8">
      <c r="A19" t="str">
        <f>_xlfn.XLOOKUP(C19,展区展位!A:A,展区展位!B:B)</f>
        <v>D教育/传媒/电竞</v>
      </c>
      <c r="B19" t="str">
        <f>_xlfn.XLOOKUP(C19,展区展位!A:A,展区展位!C:C)</f>
        <v>D02</v>
      </c>
      <c r="C19" t="s">
        <v>553</v>
      </c>
      <c r="D19" t="str">
        <f>_xlfn.XLOOKUP(C19,企业简介提取!B:B,企业简介提取!F:F)</f>
        <v>上海市闵行区中福会浦江幼儿园是一所闵行区公办幼儿园。中福会浦江幼儿园秉承宋庆龄女士“ 把最宝贵的东西给予儿童 ”的教学方针，积极探索，从人与社会、自我、自然三个维度出发，以“关爱心、自由性、文化情”核心素养为基础，创设安全、多元、丰富，且具有挑战意义的真实情境，培养有爱心、善交往、愿接纳、能适应、乐生活、享自主、会学习、喜探索、勇挑战的儿童，为终身发展奠基。</v>
      </c>
      <c r="E19" t="str">
        <f>INDEX(_xlfn._xlws.FILTER(报名明细!$I:$I,报名明细!$B:$B=$C19),1)</f>
        <v>育婴员/保育员（学历：本科 专业要求：教育学）</v>
      </c>
      <c r="F19" t="str">
        <f>INDEX(_xlfn._xlws.FILTER(报名明细!$L:$L,报名明细!$B:$B=$C19),1)</f>
        <v>1、认真贯彻执行中小学教师职业道德规范，积极履行《教师法》规定的各项义务。2、自觉遵守单位规章制度，认真完成幼儿园工作安排。3、熟悉各年龄段学习教材，制定可行的各类工作计划，撰写总结，协助整理教学资料的归档工作。4、积极参加各级展示课、公开课等教研活动，承担课题研究任务，注重经验交流、积累。5、参与班级管理工作，工作态度积极主动，有责任心，对幼儿有爱心和耐心、做好家园沟通工作。同时具有良好的沟通协调能力及团队合作精神。6、完成学校交予的其它任务。</v>
      </c>
      <c r="G19" t="str">
        <f>INDEX(_xlfn._xlws.FILTER(报名明细!$I:$I,报名明细!$B:$B=$C19),2)</f>
        <v>幼儿园教师（学历：本科 专业要求：无）</v>
      </c>
      <c r="H19" t="str">
        <f>INDEX(_xlfn._xlws.FILTER(报名明细!$L:$L,报名明细!$B:$B=$C19),2)</f>
        <v>工作内容：1、认真贯彻执行教师职业道德规范，积极履行《教师法》规定的各项义务。2、自觉遵守学校规章制度，认真参加学校规定的各种会议与活动，服从学校工作需要，承担和胜任学校分配的工作任务。3、熟悉教材，制定可行的保教工作计划,完成期末总结，协助整理教学资料的归档工作。5、积极参加各级的展示课、公开课等教研活动，承担课题研究任务，注重经验交流、积累。6、参与班级管理，主动承担学校安排的班主任工作。7、积极参加教师继续教育培训，按规定完成继续教育学分。</v>
      </c>
    </row>
    <row r="20" spans="1:8">
      <c r="A20" t="str">
        <f>_xlfn.XLOOKUP(C20,展区展位!A:A,展区展位!B:B)</f>
        <v>B互联网/电子/通信</v>
      </c>
      <c r="B20" t="str">
        <f>_xlfn.XLOOKUP(C20,展区展位!A:A,展区展位!C:C)</f>
        <v>B06</v>
      </c>
      <c r="C20" t="s">
        <v>656</v>
      </c>
      <c r="D20" t="str">
        <f>_xlfn.XLOOKUP(C20,企业简介提取!B:B,企业简介提取!F:F)</f>
        <v>上海新进芯微电子有限公司隶属于美国Diodes 公司，成立于2007年年底，坐落于上海紫竹科学园区，公司现有全职员工600余人，其中从事设计和工程的技术团队为300余人。
公司拥有6英寸以及8英寸晶圆制造净化厂房，可以为系统客户提供采用先进的模拟IC设计和研发、以及利用高阶的生产工艺（如Bipolar、CMOS、BiCDMOS 、TVS和SKY等）所制造的多元化高效能半导体产品，并且通过了ISO9……</v>
      </c>
      <c r="E20" t="str">
        <f>INDEX(_xlfn._xlws.FILTER(报名明细!$I:$I,报名明细!$B:$B=$C20),1)</f>
        <v>设备维护技术员（学历：大专 专业要求：无）</v>
      </c>
      <c r="F20" t="str">
        <f>INDEX(_xlfn._xlws.FILTER(报名明细!$L:$L,报名明细!$B:$B=$C20),1)</f>
        <v>1.职位概述（JobSummary）12小时翻班，负责在线生产设备的日常安全，按照设备PM计划完成相应的设备保全工作。2.职责（Responsibilities）2.1对本班次运行的设备进行日常安全检查。2.2完成设备主管设备工程师制定的设备PM计划。2.3解决本班次中出现的设备一般故障，保证生产的正常运行。2.4服从本班次作业长的领导，遵守净化工作及公司各项规章。2.5根据生产情况需求，对当班工作中出现的设备问题不能解决时，及时向相关设备责任工程师通告。2.6详细记录当班次的设备运行情况。2.7负责库房备件，材料领取。3.任职资格（Qualifications）3.1大专以上，自动化及机电类相关专业。对有三年以上IC前道工作经历的学历可适当放宽。3.2一年以上IC制造工作经验。3.3具备一定的设备安全方面的知识，较强的动手能力和团队精神。知晓FMEA、SPC、MSA三大应用工具。</v>
      </c>
      <c r="G20" t="str">
        <f>INDEX(_xlfn._xlws.FILTER(报名明细!$I:$I,报名明细!$B:$B=$C20),2)</f>
        <v>设备操作员（学历：高中 专业要求：无）</v>
      </c>
      <c r="H20" t="str">
        <f>INDEX(_xlfn._xlws.FILTER(报名明细!$L:$L,报名明细!$B:$B=$C20),2)</f>
        <v>1、职位概述（JobSummary）按SOP操作，完成每日所属机台的质量、产量任务、并保证安全生产。2、职责（Responsibilities）2.1执行工艺卫生制度，按规定完成负责区域及机台的5S工作。2.2执行工艺操作规范，服从监理安排，完成本岗位操作程序。2.3参加良率提高行动，以杜绝个人操作失误为己任。2.4执行工艺控制要求，及时完成各项QC项目。2.5执行质量控制要求的各项品质检查工作，正确处理设备及硅片异常状况下本岗位职责。2.6遵守公司和净化间的管理规定。3、任职资格（Qualifications）3.1教育背景（Education）中专及以上毕业，半导体、微电子或半导体相关专业；高中、职校毕业，有半导体或电子类企业工作经验者也可应聘。3.2工作经验（Workexperience）应届毕业生，有半导体或电子类企业工作经验者优先。3.3知识和技能（KnowledgeandSkills）需具备基础英语认知能力，会使用MSEXCEL和WORD。3.4其他（Others）身高1.55及以上，双眼矫正视力1.0及以上，无色盲；愿意从事轮班工作。</v>
      </c>
    </row>
    <row r="21" spans="1:8">
      <c r="A21" t="str">
        <f>_xlfn.XLOOKUP(C21,展区展位!A:A,展区展位!B:B)</f>
        <v>B互联网/电子/通信</v>
      </c>
      <c r="B21" t="str">
        <f>_xlfn.XLOOKUP(C21,展区展位!A:A,展区展位!C:C)</f>
        <v>B19</v>
      </c>
      <c r="C21" t="s">
        <v>674</v>
      </c>
      <c r="D21" t="str">
        <f>_xlfn.XLOOKUP(C21,企业简介提取!B:B,企业简介提取!F:F)</f>
        <v>河马娱乐公司深耕直播（电商直播+娱乐直播）及短视频拍摄业务，目前服务400+位主播；在短视频拍摄及运营方面有丰富的经验及成熟的团队，公司为素人提供短视频制作策划拍摄，电商直播产品供应链提供，电商活动策划，娱乐直播运营，游戏直播策划运营，素人培养，艺人孵化等。</v>
      </c>
      <c r="E21" t="str">
        <f>INDEX(_xlfn._xlws.FILTER(报名明细!$I:$I,报名明细!$B:$B=$C21),1)</f>
        <v>新媒体主播（学历：大专 专业要求：无）</v>
      </c>
      <c r="F21" t="str">
        <f>INDEX(_xlfn._xlws.FILTER(报名明细!$L:$L,报名明细!$B:$B=$C21),1)</f>
        <v>1：负责拍摄短视频2：负责直播间粉丝互动</v>
      </c>
      <c r="G21" t="str">
        <f>INDEX(_xlfn._xlws.FILTER(报名明细!$I:$I,报名明细!$B:$B=$C21),2)</f>
        <v>行政前台（学历：大专 专业要求：无）</v>
      </c>
      <c r="H21" t="str">
        <f>INDEX(_xlfn._xlws.FILTER(报名明细!$L:$L,报名明细!$B:$B=$C21),2)</f>
        <v>1：负责招聘邀约接待2：负责前台卫生保持3：数据统计周六周日双休，有师父带</v>
      </c>
    </row>
    <row r="22" spans="1:8">
      <c r="A22" t="str">
        <f>_xlfn.XLOOKUP(C22,展区展位!A:A,展区展位!B:B)</f>
        <v>F综合</v>
      </c>
      <c r="B22" t="str">
        <f>_xlfn.XLOOKUP(C22,展区展位!A:A,展区展位!C:C)</f>
        <v>F05</v>
      </c>
      <c r="C22" t="s">
        <v>687</v>
      </c>
      <c r="D22" t="str">
        <f>_xlfn.XLOOKUP(C22,企业简介提取!B:B,企业简介提取!F:F)</f>
        <v>挪亚检测认证集团(NOA|挪亚)成立于1999年，是一家独立、公正及专业的综合性检验、检测、认证以及研究研发和品质保障服务机构，集团总部位于中国上海。NOA|挪亚是中国最早从事检验、检测及认证的第三方服务机构之一。
NOA|挪亚已获得中国国家认证认可监督管理委员会（CNCA）批准（CNCA-R-2002-51）和中国计量认证(CMA)的资质评定，并且已通过中国合格评定国家认可委员会（CNAS）及……</v>
      </c>
      <c r="E22" t="str">
        <f>INDEX(_xlfn._xlws.FILTER(报名明细!$I:$I,报名明细!$B:$B=$C22),1)</f>
        <v>计划管理实习生（学历：大专 专业要求：无）</v>
      </c>
      <c r="F22" t="str">
        <f>INDEX(_xlfn._xlws.FILTER(报名明细!$L:$L,报名明细!$B:$B=$C22),1)</f>
        <v>岗位职责：1、负责初审、监督、再认证审核计划安排和变更调整（根据销售订单合理安排审核员（技术员）去企业现场出差行安排）；2、负责审核现场发生的变更及异常处理；3、负责核对数据及上报；4、负责领导交办的其他事务任职资格：1、大专及以上学历，有实习工作经历优先。2、工作踏实、耐心细致、思维清晰、做事有条理，能够承受一定工作压力；3、积极主动、具有良好的人际沟通能力、高度的工作热情、良好的团队合作精神；4、具有良好的内外部服务意识；5、期望你是26届毕业，准大三、准大四学生，学校没有课程的优先。期望一周至少可实习5天。可以接受从暑期开始实习！！！但是，期望至少实习4-6个月哦，只能暑假实习的不行哦。不提供住宿，可以看一下通勤是否方便哦。园区交通便利，多条班车线路（2号线广兰路）及地铁14号线可以直达。欢迎有意愿在认证行业长期发展的有志之士加入！！挪亚检测认证集团，99年成立，总部位于上海，全国14+办事处，2个海外子公司。公司集检测、检验、认证为一体的集团性公司。公司管理制度规范，晋升渠道透明。拥有带薪培训、年节礼物、车补餐补、司龄补贴等等丰厚福利。出勤朝九晚六，周末双休。</v>
      </c>
      <c r="G22" t="str">
        <f>INDEX(_xlfn._xlws.FILTER(报名明细!$I:$I,报名明细!$B:$B=$C22),2)</f>
        <v>质量检验员（学历：大专 专业要求：无）</v>
      </c>
      <c r="H22" t="str">
        <f>INDEX(_xlfn._xlws.FILTER(报名明细!$L:$L,报名明细!$B:$B=$C22),2)</f>
        <v>岗位职责1、按照规定的作业要求，独立完成工业部的检验、认证及技术咨询、工程监理部工程监理、无损探伤等相关工作等服务要求；2、代表客户在项目现场对设计、采购、施工、调试、验收、工程质量、进度、造价、安全、风险进行管理；在工程现场协调推进各相关方的工作，并及时向业主汇报；3、按照法规要求和当地行政管理部门配合，准备相应地工程资料文件编制和提交；4、对客户的质量管理体系能够进行检查、分析和审核，并提出相应提升对策；5、在完成指定的规定任务后按时记录工作发现，并按要求即时书面汇报工作给上级和客户。任职资格1、大专及以上学历，电力、设备、机械、无损、测控、仪器、石化类专业毕业；2、对质量检测行业感兴趣；3、有一定的电脑操作及报告编制能力；4、可以接受在施工现场工作。</v>
      </c>
    </row>
    <row r="23" spans="1:8">
      <c r="A23" t="str">
        <f>_xlfn.XLOOKUP(C23,展区展位!A:A,展区展位!B:B)</f>
        <v>A机械/制造/能源</v>
      </c>
      <c r="B23" t="str">
        <f>_xlfn.XLOOKUP(C23,展区展位!A:A,展区展位!C:C)</f>
        <v>A17</v>
      </c>
      <c r="C23" t="s">
        <v>691</v>
      </c>
      <c r="D23" t="str">
        <f>_xlfn.XLOOKUP(C23,企业简介提取!B:B,企业简介提取!F:F)</f>
        <v>上海南华兰陵电气有限公司 是上海电气旗下的中外合资企业，是 一家 专业生产输配电 用和新能源用高 、低压成套开关设备 及预装 式变电站 的高新技术企业。具有 建委建筑业二级总承包资质，具有电监委电力设施承装三级、承修二级、承试二级资质，具备管线工程水平定向钻施工三级能力 。
主导 产品已涵盖高压、低压、箱变、真空断路器 、电子元件五 大系列数十个品种 与西门子、 ABB 、施耐德等 国际知名公司 ……</v>
      </c>
      <c r="E23" t="str">
        <f>INDEX(_xlfn._xlws.FILTER(报名明细!$I:$I,报名明细!$B:$B=$C23),1)</f>
        <v>智能化设备（学历：大专 专业要求：无）</v>
      </c>
      <c r="F23" t="str">
        <f>INDEX(_xlfn._xlws.FILTER(报名明细!$L:$L,报名明细!$B:$B=$C23),1)</f>
        <v>岗位职责：使用智能化生产设备、完成钣金、铜排、折弯、下线等产品生产前置工序。岗位要求：1、大专及以上学历；2、机械、数控、智能制造等专业；3、具有团队协作能力、能吃苦耐劳者优先。</v>
      </c>
      <c r="G23" t="str">
        <f>INDEX(_xlfn._xlws.FILTER(报名明细!$I:$I,报名明细!$B:$B=$C23),2)</f>
        <v>技能人员储备（学历：大专 专业要求：无）</v>
      </c>
      <c r="H23" t="str">
        <f>INDEX(_xlfn._xlws.FILTER(报名明细!$L:$L,报名明细!$B:$B=$C23),2)</f>
        <v>岗位职责：根据产品设计图纸，完成产品装配、接线等工序。岗位要求：1、大专及以上学历；2、电气类、机电类、自动化类、机械类等专业；3、具有团队协作能力、能吃苦耐劳者优先。</v>
      </c>
    </row>
    <row r="24" spans="1:8">
      <c r="A24" t="str">
        <f>_xlfn.XLOOKUP(C24,展区展位!A:A,展区展位!B:B)</f>
        <v>C汽车/服装/贸易</v>
      </c>
      <c r="B24" t="str">
        <f>_xlfn.XLOOKUP(C24,展区展位!A:A,展区展位!C:C)</f>
        <v>C05</v>
      </c>
      <c r="C24" t="s">
        <v>773</v>
      </c>
      <c r="D24" t="str">
        <f>_xlfn.XLOOKUP(C24,企业简介提取!B:B,企业简介提取!F:F)</f>
        <v>       森马集团于1996年12月18日在中国创立。旗下参股公司浙江森马服饰股份有限公司（公司简称：森马服饰，股票代码：002563）是中国服装行业市值领先的上市公司之一，多年来保持持续、稳定、健康的发展。2019年公司实现营业总收入193.59亿元，较上年同期增长23.15%；实现营业利润21.58亿元，同比增长3.74%。
    森马服饰致力于打造全球多品牌时尚产业公司，旗下有成人品牌……</v>
      </c>
      <c r="E24" t="str">
        <f>INDEX(_xlfn._xlws.FILTER(报名明细!$I:$I,报名明细!$B:$B=$C24),1)</f>
        <v>财会方向（25届）（学历：本科 专业要求：无）</v>
      </c>
      <c r="F24" t="str">
        <f>INDEX(_xlfn._xlws.FILTER(报名明细!$L:$L,报名明细!$B:$B=$C24),1)</f>
        <v>岗位职责：1、轮岗财务稽核、应收管理、应付管理、总账模块等财务工作，完成日常结算、财务报表出具；2、协助税务筹划工作；3、支持审计、上市公司信息披露工作；4、推动日常业务流程优化，规范新业务流程，支持业务发展，成为高素质的财务专业人才。招聘要求：25届应届本科及以上学历，财会相关专业，具有较强的责任心、良好的学习能力、良好的沟通能力和团队合作能力。</v>
      </c>
      <c r="G24" t="str">
        <f>INDEX(_xlfn._xlws.FILTER(报名明细!$I:$I,报名明细!$B:$B=$C24),2)</f>
        <v>海外业务方向（25届）（学历：本科 专业要求：德语,法语,意大利语,西班牙语,菲律宾语,泰语）</v>
      </c>
      <c r="H24" t="str">
        <f>INDEX(_xlfn._xlws.FILTER(报名明细!$L:$L,报名明细!$B:$B=$C24),2)</f>
        <v>工作职责：1.品牌推广与本地化：负责品牌的海外渠道拓展推广，包括线上和线下渠道的整合营销活动，以及品牌信息的本地化调整，确保品牌在不同文化背景下的有效传播。2.客户关系管理：建立和维护与海外客户的关系，包括客户服务、反馈收集和处理，以及建立长期的客户忠诚度。3.数据分析与报告：定期收集和分析海外市场数据，包括销售报告、市场趋势、客户反馈等，为公司决策提供数据支持。4.团队协作与跨部门沟通：与公司内部的产品设计、生产、物流、市场等部门密切合作，确保海外运营活动的顺利执行。5.危机管理：应对海外市场中可能出现的突发情况，如供应链中断、市场变化、政策调整等，制定应急计划和解决方案。6.预算管理：负责海外运营的预算规划和成本控制，确保营销活动和运营成本在预算范围内。任职资格：1.25届本科及以上学历，专业不限。2.需要具备良好的中英文沟通能力，包括书面和口头表达，对目标市场的本地语言熟悉尤佳。3.对服装行业有兴趣，包括时尚潮流、服装面料、设计趋势等。4.具备与不同文化背景的人有效沟通的能力，特别是目标市场的文化和商业习惯。5.擅长使用数据分析工具。6.需要具备较强的抗压能力和自我驱动力。本岗位……</v>
      </c>
    </row>
    <row r="25" spans="1:8">
      <c r="A25" t="str">
        <f>_xlfn.XLOOKUP(C25,展区展位!A:A,展区展位!B:B)</f>
        <v>A机械/制造/能源</v>
      </c>
      <c r="B25" t="str">
        <f>_xlfn.XLOOKUP(C25,展区展位!A:A,展区展位!C:C)</f>
        <v>A06</v>
      </c>
      <c r="C25" t="s">
        <v>1035</v>
      </c>
      <c r="D25" t="str">
        <f>_xlfn.XLOOKUP(C25,企业简介提取!B:B,企业简介提取!F:F)</f>
        <v>中国航天科技集团有限公司上海空间电源研究所，地处上海市闵行区东川园区，主要承担“星、箭、弹、船、（探测）器”及其它特殊设备用电源系统、控制设备、电源产品的研究、设计、制造和试验任务以及新能源产业孵化工作，是中国航天科技集团有限公司唯一的电源专业所。
现拥有国内唯一的空间电源全国重点实验室，建有电子电源、化学电源、物理电源等电源领域研发中心，获科技部批复建有空间电源技术国际科技合作基地。
2020年……</v>
      </c>
      <c r="E25" t="str">
        <f>INDEX(_xlfn._xlws.FILTER(报名明细!$I:$I,报名明细!$B:$B=$C25),1)</f>
        <v>化学电源工程师（学历：本科 专业要求：化学,材料科学与工程）</v>
      </c>
      <c r="F25" t="str">
        <f>INDEX(_xlfn._xlws.FILTER(报名明细!$L:$L,报名明细!$B:$B=$C25),1)</f>
        <v>1、要求，电化学、应用化学、材料科学与工程等专业优先考虑；2、熟悉锂电池电化学原理、锂电池性能测试；3、熟悉锂离子电池国内外技术现状；4、具备基本的英语读、写、听、说能力；5、做事认真、态度诚恳、团队协作能力强；6、热爱航天事业、责任感强、能吃苦耐劳；</v>
      </c>
      <c r="G25" t="str">
        <f>INDEX(_xlfn._xlws.FILTER(报名明细!$I:$I,报名明细!$B:$B=$C25),2)</f>
        <v>设备工程师（学历：本科 专业要求：机械制造及其自动化,电气类）</v>
      </c>
      <c r="H25" t="str">
        <f>INDEX(_xlfn._xlws.FILTER(报名明细!$L:$L,报名明细!$B:$B=$C25),2)</f>
        <v>1、本科学历，机电一体化、电气工程等相关专业；2、3年以上锂电池生产制造自动化设备维护工作经验；3、熟悉工程机械、电气构造原理，有一定工程机械故障处理经验、机械设计和机械维护经验，熟知设备保养、维修流程及规范和标准；4、能够指导工程机械设备进行维修维护及故障排除；5、熟练使用CAD和其他现代化办公设备和软件（如Word,Excel等）；6、对工作有很强的责任心，做事积极主动、认真踏实，注重工作质量和效率；7、团队合作精神，良好的沟通能力。</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workbookViewId="0">
      <selection activeCell="A1" sqref="A1:J53"/>
    </sheetView>
  </sheetViews>
  <sheetFormatPr defaultColWidth="9" defaultRowHeight="14.5"/>
  <sheetData>
    <row r="1" spans="1:10">
      <c r="A1" t="s">
        <v>1146</v>
      </c>
      <c r="B1" t="s">
        <v>1147</v>
      </c>
      <c r="C1" t="s">
        <v>1381</v>
      </c>
      <c r="D1" t="s">
        <v>1382</v>
      </c>
      <c r="E1" t="s">
        <v>1383</v>
      </c>
      <c r="F1" t="s">
        <v>1384</v>
      </c>
      <c r="G1" t="s">
        <v>1396</v>
      </c>
      <c r="H1" t="s">
        <v>1397</v>
      </c>
      <c r="I1" t="s">
        <v>1398</v>
      </c>
      <c r="J1" t="s">
        <v>1399</v>
      </c>
    </row>
    <row r="2" spans="1:10">
      <c r="A2" t="str">
        <f>_xlfn.XLOOKUP(C2,展区展位!A:A,展区展位!B:B)</f>
        <v>B互联网/电子/通信</v>
      </c>
      <c r="B2" t="str">
        <f>_xlfn.XLOOKUP(C2,展区展位!A:A,展区展位!C:C)</f>
        <v>B01</v>
      </c>
      <c r="C2" t="s">
        <v>15</v>
      </c>
      <c r="D2" t="str">
        <f>_xlfn.XLOOKUP(C2,企业简介提取!B:B,企业简介提取!F:F)</f>
        <v>上海光通信有限公司（英文名 Shanghai GTX Semiconductor Co., Ltd，下称“GTX”），成立于1988年，于2022年初转型进入集成电路制造领域。</v>
      </c>
      <c r="E2" t="str">
        <f>INDEX(_xlfn._xlws.FILTER(报名明细!$I:$I,报名明细!$B:$B=$C2),1)</f>
        <v>仓储助理专员（学历：大专 专业要求：无）</v>
      </c>
      <c r="F2" t="str">
        <f>INDEX(_xlfn._xlws.FILTER(报名明细!$L:$L,报名明细!$B:$B=$C2),1)</f>
        <v>工作职责1)根据规程，执行公司各种物资运输安排、管理及监控；2)执行物资仓储管理，保证物资有序账目清晰。任职要求1)大专及以上学历，物流、仓储等相关专业；2)具备良好的沟通能力和团队合作精神，具备独立工作、分析和解决问题的能力，良好的中英文读写说能力。</v>
      </c>
      <c r="G2" t="str">
        <f>INDEX(_xlfn._xlws.FILTER(报名明细!$I:$I,报名明细!$B:$B=$C2),2)</f>
        <v>良率提升助理技术员（学历：大专 专业要求：无）</v>
      </c>
      <c r="H2" t="str">
        <f>INDEX(_xlfn._xlws.FILTER(报名明细!$L:$L,报名明细!$B:$B=$C2),2)</f>
        <v>岗位描述：1）负责支持在线缺陷监控，处理产线检测的产品、设备，保证产品正常生产，设备正常运行。2）负责监控并处理检测及复检机台的异常运行状况，保证机台正常运行。3）协同工程师进行缺陷改善，建立合格的检测程式和复检程式，发现并通知产生缺陷的制程，减少缺陷的影响范围。4）负责简单的缺陷切片制样，跟进切片结果。任职要求：1）大专及以上学历，专业不限。2）具备良好的沟通能力，具备团队意识。3）倒班工作模式，接受无尘室工作环境。</v>
      </c>
      <c r="I2" t="str">
        <f>INDEX(_xlfn._xlws.FILTER(报名明细!$I:$I,报名明细!$B:$B=$C2),3)</f>
        <v>实验室技术员（学历：大专 专业要求：无）</v>
      </c>
      <c r="J2" t="str">
        <f>INDEX(_xlfn._xlws.FILTER(报名明细!$L:$L,报名明细!$B:$B=$C2),3)</f>
        <v>岗位描述：1）按照规程和作业指导书，执行失效分析实验室/可靠性实验室/化学实验室内相关仪器的操作并按照求完成具体失效分析工作。2）按照规程和作业指导书，执行失效分析实验室/可靠性实验室/化学实验室的日常点检，协助处理机台的日常维护工作。任职要求：1）大专以上学历，理工科相关专业。2）接受倒班工作模式，接受无尘室工作环境。3）具备良好的沟通能力和团队合作精神，具备独立工作、分析和解决问题的能力，良好的中英文读写说能力。</v>
      </c>
    </row>
    <row r="3" spans="1:10">
      <c r="A3" t="str">
        <f>_xlfn.XLOOKUP(C3,展区展位!A:A,展区展位!B:B)</f>
        <v>B互联网/电子/通信</v>
      </c>
      <c r="B3" t="str">
        <f>_xlfn.XLOOKUP(C3,展区展位!A:A,展区展位!C:C)</f>
        <v>B20</v>
      </c>
      <c r="C3" t="s">
        <v>21</v>
      </c>
      <c r="D3" t="str">
        <f>_xlfn.XLOOKUP(C3,企业简介提取!B:B,企业简介提取!F:F)</f>
        <v>      新皋实业成立于2013年初，总部位于上海虹桥机场毗邻的明谷科技园，公司在智能家居领域率先投入智能家居控制系统的项目研发、生产及销售。获得软件专利著作权十多项，企业获得国家商标局认证商标：  《新皋》《XINGAO》《艾登堡》《ATNBO》等品牌，并推出真正适合国内外用户的智能影音系列产品。自主研发新皋XINGAO智能影院中控系统及艾登堡ATNBO家庭影院系列产品,深受行业专业人士好评。……</v>
      </c>
      <c r="E3" t="str">
        <f>INDEX(_xlfn._xlws.FILTER(报名明细!$I:$I,报名明细!$B:$B=$C3),1)</f>
        <v>设计，UI设计，效果图设计（学历：大专 专业要求：无）</v>
      </c>
      <c r="F3" t="str">
        <f>INDEX(_xlfn._xlws.FILTER(报名明细!$L:$L,报名明细!$B:$B=$C3),1)</f>
        <v>工作内容：企业设计类工作，主要内容协助领导UI设计工作。招聘条件：有相关工作经验者优先；1、熟悉办公软件操作，具备良好的文字表达能力；2、熟练UI设计软件。公司从事智能家居及智能私人影院技术研发及硬件生产，招聘在校大学生实习实践，对智能家居，私人影院设备产品感兴趣者，实习生学员公司各岗位培养。实习期间成绩优秀者，毕业学年转正为企业员工，签定劳动合同，享受企业员工一切待遇。上海新皋实业有限公司是上海闵行区人社局及财政局审核认定的大学生实习实训基地。</v>
      </c>
      <c r="G3" t="str">
        <f>INDEX(_xlfn._xlws.FILTER(报名明细!$I:$I,报名明细!$B:$B=$C3),2)</f>
        <v>物联网技术助理（学历：初中及以下 专业要求：微电子技术,微电子学与固体电子学,微电子科学与工程）</v>
      </c>
      <c r="H3" t="str">
        <f>INDEX(_xlfn._xlws.FILTER(报名明细!$L:$L,报名明细!$B:$B=$C3),2)</f>
        <v>我司是上海市人社局批准大学生实习基地，闵行区户籍实习生可以享受政府津贴，名额有限。公司从事智能家居及智能私人影院技术研发及硬件设备调试，招聘智能家居行业相关专业的在校大学生实习实践，要求物联网技术或电子及机电专业学生，具备弱电接线动手能力，对智能家居，私人影院设备安装调试感兴趣者，实习生学员公司提供技术培训。实习期间成绩优秀者，毕业学年转正为企业员工，签定劳动合同，享受企业员工一切待遇。优秀学员企业另外增加岗位津贴。面试证件：身份证；学信网个人资料；公司地址：上海市闵行区中春路7001号（明谷科技园）B栋415。公交路线：地铁9号线中春路站（2号口）出来沿着中春路骑行（10分钟）到达明谷科技园东大门，公司在东门左边进口处。</v>
      </c>
      <c r="I3" t="str">
        <f>INDEX(_xlfn._xlws.FILTER(报名明细!$I:$I,报名明细!$B:$B=$C3),3)</f>
        <v>新媒体运营（学历：初中及以下 专业要求：无）</v>
      </c>
      <c r="J3" t="str">
        <f>INDEX(_xlfn._xlws.FILTER(报名明细!$L:$L,报名明细!$B:$B=$C3),3)</f>
        <v>工作内容负责公司多媒体渠道（包括但不限于微信公众号、抖音、微博等）的运营管理和内容策划。通过策划和执行，提升公司多媒体渠道的曝光度和用户粘性。主要职责：1、负责公司多媒体渠道的运营管理和内容策划，包括但不限于制定并执行渠道内容计划、跟踪和优化渠道运营效果、策划并执行创意等；2、撰写、编辑、发布公司公众号多媒体内容，提升内容质量和创意，以满足用户需求和公司需求；3、根据公司业务需求，制定并执行多媒体渠道的定期更新和升级策略，提升公司多媒体品牌形象和用户黏性；4、定期汇报公司多媒体渠道运营效果，提供数据驱动的改进建议，以优化公司多媒体运营策略；5、与其他部门的沟通和协作，包括但不限于与视频拍摄团队、设计师等合作，提升公司多媒体内容质量和用户体验。招聘条件多媒体运营专业，大专及以上学历，具备较强的项目管理能力和团队协作能力；1、熟悉新媒体渠道，具有一定的内容策划和创意能力，善于分析数据驱动问题；2、具有较强的沟通协调能力，能够与不同部门进行有效沟通和协作；3、具有较强的逻辑思维能力，能够独立思考和解决问题；4、熟练掌握公司多媒体运营流程和方法，了解公司业务需求。具有视频拍摄剪辑编辑能力。熟练……</v>
      </c>
    </row>
    <row r="4" spans="1:10">
      <c r="A4" t="str">
        <f>_xlfn.XLOOKUP(C4,展区展位!A:A,展区展位!B:B)</f>
        <v>B互联网/电子/通信</v>
      </c>
      <c r="B4" t="str">
        <f>_xlfn.XLOOKUP(C4,展区展位!A:A,展区展位!C:C)</f>
        <v>B09</v>
      </c>
      <c r="C4" t="s">
        <v>58</v>
      </c>
      <c r="D4" t="str">
        <f>_xlfn.XLOOKUP(C4,企业简介提取!B:B,企业简介提取!F:F)</f>
        <v>珍岛信息技术（上海）股份有限公司（简称珍岛集团，股票代码02556.HK）是中国最大的营销及销售SaaS公司，也是最早推出 T-force 营销领域大模型的公司，最早推出 AI-Agentforce 中台的公司，聚焦数字化与智能化，基于人工智能、大数据技术，是专注数字化智能营销的SaaS服务提供商，于2024年在香港上市。</v>
      </c>
      <c r="E4" t="str">
        <f>INDEX(_xlfn._xlws.FILTER(报名明细!$I:$I,报名明细!$B:$B=$C4),1)</f>
        <v>校企合作经理（学历：大专 专业要求：无）</v>
      </c>
      <c r="F4" t="str">
        <f>INDEX(_xlfn._xlws.FILTER(报名明细!$L:$L,报名明细!$B:$B=$C4),1)</f>
        <v>岗位职责：1、负责面向全国本科、高职、中职、技师院校进行数字营销实训软件的销售工作；2、制定区域销售计划并保障计划有效完成，进行系统化成本风控；3、完成区域业务团队组建、培养和绩效管理；4、建立院校业务多元化合作伙伴架构和体系。任职要求：1、不限专业，金融、网络营销、电子商务为佳；2、做事严谨细致，有耐心，有责任心，具有优秀的表达能力与团队协作能力3、具备良好的学习力、承压能力及高度责任心。4、能接受出差</v>
      </c>
      <c r="G4" t="str">
        <f>INDEX(_xlfn._xlws.FILTER(报名明细!$I:$I,报名明细!$B:$B=$C4),2)</f>
        <v>大学生营销储备干部 （学历：本科 专业要求：无）</v>
      </c>
      <c r="H4" t="str">
        <f>INDEX(_xlfn._xlws.FILTER(报名明细!$L:$L,报名明细!$B:$B=$C4),2)</f>
        <v>【公司简介】珍岛集团成立于2009年，聚焦企业数字化智能化，打造了全球领先的智能营销云平台Marketingforce.com，也是国内最大的营销及销售SaaS解决方案提供商。基于大数据、人工智能、云计算技术，现已形成IaaS（云计算）、PaaS(开放中台)、All-in-oneAISaaS等一站式智能营销云平台。总部位于上海市静安区大数据产业基地，第二总部位于武汉光谷，云计算机房设立于无锡基地，30+分支机构覆盖江苏、浙江、广东等省份。珍岛集团现有员工约4000人，累计申请软件著作权400余项，相关专利40余项。【营销储备干部】★岗位职责1.通过电话、陌生拜访、新媒体等渠道寻找潜在客户，邀约并拜访客户；2.与客户面谈，现场提供专业的产品演示和解决方案，完成销售；3.对老客户进行定期维护，及时了解客户需求售卖的是珍岛的明星产品“T-云”★岗位要求1.专业、性别不限；2.有无经验皆可（90%的伙伴都没有互联网行业经验，我们有完善的培训给你信心）；3.喜欢销售，能抗压抗挫，表达沟通能力强，有理想有抱负。★薪资待遇一线城市：上海保障薪资8000元，广州、深圳保障薪资7500元（含9%-29%……</v>
      </c>
      <c r="I4" t="str">
        <f>INDEX(_xlfn._xlws.FILTER(报名明细!$I:$I,报名明细!$B:$B=$C4),3)</f>
        <v>HD智能营销顾问（学历：本科 专业要求：经济与金融,国际经济与贸易,英语,计算机科学与技术,大数据管理与应用,工程造价,信息管理与信息系统,市场营销教育,行政管理,电子商务）</v>
      </c>
      <c r="J4" t="str">
        <f>INDEX(_xlfn._xlws.FILTER(报名明细!$L:$L,报名明细!$B:$B=$C4),3)</f>
        <v>工作内容：1、通过电话、陌生拜访、新媒体等渠道寻找潜在客户，邀约并拜访客户；2、与客户面谈，现场提供专业的产品演示和解决方案，完成销售（当你还不能独立面谈的时候，经理会手把手带着你并演示给你看如何和客户面谈）；3、对老客户进行定期维护，及时了解客户需求，把握客户心理，实现销售机会到销售产能的最大转化。岗位要求：4、全日制本科及以上学历，专业不限；5、对互联网行业有浓厚兴趣且考虑在营销领域发展；6、有较强的学习能力、沟通能力和适应能力；喜欢做与人打交道的工作薪资：上海：实习保障薪资8000元/月+提成9%-29%深圳、广州：实习保障薪资7500元/月+提成9%-29%杭州、苏州、宁波、南京：实习保障工资6000元/月+提成9%-29%无锡、武汉：实习保障保障工资5500元/月+提成9%-29%东莞、佛山、温州、台州、绍兴、金华、义务、成都、南通、常州：实习保障保障工资5000元/月+提成9%-29%惠州、中山、顺德、扬州：实习保障保障工资4500元/月+提成9%-29%1、以上工资为实习工资(即未拿到毕业证)；2、如已经拿到毕业证，保障薪资会在此薪资基础上高500~1000元/月。上海、……</v>
      </c>
    </row>
    <row r="5" spans="1:10">
      <c r="A5" t="str">
        <f>_xlfn.XLOOKUP(C5,展区展位!A:A,展区展位!B:B)</f>
        <v>C汽车/服装/贸易</v>
      </c>
      <c r="B5" t="str">
        <f>_xlfn.XLOOKUP(C5,展区展位!A:A,展区展位!C:C)</f>
        <v>C16</v>
      </c>
      <c r="C5" t="s">
        <v>63</v>
      </c>
      <c r="D5" t="str">
        <f>_xlfn.XLOOKUP(C5,企业简介提取!B:B,企业简介提取!F:F)</f>
        <v>革力物流有限公司总部设在上海,并在深圳,广州,佛山,中山,以及宁波设有分公司, 在华北地区也有较好的代理网络。公司网址为：www.gclchina.net
公司的代理网络覆盖100多个国家,优势航线为欧洲,地中海,中东印巴,以及澳洲新西兰和东南亚国家
除基本海运空运以外， 公司还致力于发展进出口代理、清关、仓储、供应链管理等多元化主体化的国际物流服务。
主要合作船公司有:MAERSK、APL、EV……</v>
      </c>
      <c r="E5" t="str">
        <f>INDEX(_xlfn._xlws.FILTER(报名明细!$I:$I,报名明细!$B:$B=$C5),1)</f>
        <v>会计助理（实习生）（学历：大专 专业要求：无）</v>
      </c>
      <c r="F5" t="str">
        <f>INDEX(_xlfn._xlws.FILTER(报名明细!$L:$L,报名明细!$B:$B=$C5),1)</f>
        <v>开票基础凭证录入及时完成领导交办的其他事项岗位要求：会计或财务相关专业工作认真、仔细、负责欢迎应届毕业生</v>
      </c>
      <c r="G5" t="str">
        <f>INDEX(_xlfn._xlws.FILTER(报名明细!$I:$I,报名明细!$B:$B=$C5),2)</f>
        <v>单证员（学历：大专 专业要求：无）</v>
      </c>
      <c r="H5" t="str">
        <f>INDEX(_xlfn._xlws.FILTER(报名明细!$L:$L,报名明细!$B:$B=$C5),2)</f>
        <v>负责托书准确的录入负责MBL&amp;HOUSEBILL的核对、更改、申领及签发；熟悉各个船公司、各航线的制单要求；负责费用的录入及确认工作；负责VGM的审核确认及系统导入工作；做好单证及文件的整理和归档任职要求：具有中专以上学历，同行业三个月以上工作经验；能熟练使用电脑，中英文打字速度快，能熟练运用OFFICE操作软件。较强的学习能力，肯吃苦耐劳，对本职工作有着强烈的责任心，耐心、细致、谨慎地对待日常单证工作；有良好的语言表达能力，善于沟通、交流，具有团队合作的精神；</v>
      </c>
      <c r="I5" t="str">
        <f>INDEX(_xlfn._xlws.FILTER(报名明细!$I:$I,报名明细!$B:$B=$C5),3)</f>
        <v>货代商务/市场专员（实习生）（学历：大专 专业要求：无）</v>
      </c>
      <c r="J5" t="str">
        <f>INDEX(_xlfn._xlws.FILTER(报名明细!$L:$L,报名明细!$B:$B=$C5),3)</f>
        <v>岗位职责：1、根据不同渠道维护已有船公司、庄家等供应商；2、根据不同渠道开发新的船公司、庄家等供应商；3、承接海外销售部及本地销售同事的询价；4、收集市场信息，负责航线价格体系的维护和完善，定期更新市场价格体系；5、及时在公司内部做市场信息公布，如航线运价走势，各船公司对于运价及载货方面的新规定；6、及时解决仓位，操作异常等突发事件；7、及时完成上级交办的其他工作。薪资待遇：1、合理优厚的薪金：基本工资+绩效奖金+补贴+年终奖等,2、完善的假期组合：带薪年假、带薪病假及法定假期；3、齐全的福利体系：养老保险、医疗保险+补充医疗保险、生育保险、工伤保险、失业保险及住房公积金；4、丰富多彩的员工活动：员工聚餐、节日晚会、旅游活动、优秀员工表彰活动等；5、多元化培训课程：带薪岗前培训，在职个人提升计划；6、良好晋升机会：内部转职（横向发展）、纵向提升；</v>
      </c>
    </row>
    <row r="6" spans="1:10">
      <c r="A6" t="str">
        <f>_xlfn.XLOOKUP(C6,展区展位!A:A,展区展位!B:B)</f>
        <v>E城市运营与技术服务</v>
      </c>
      <c r="B6" t="str">
        <f>_xlfn.XLOOKUP(C6,展区展位!A:A,展区展位!C:C)</f>
        <v>E06</v>
      </c>
      <c r="C6" t="s">
        <v>73</v>
      </c>
      <c r="D6" t="str">
        <f>_xlfn.XLOOKUP(C6,企业简介提取!B:B,企业简介提取!F:F)</f>
        <v>上海地矿物业管理有限公司隶属于上市市规划和自然资源局。上海地矿物业管理有限公司城市规划展示馆项目。上海城市规划展示馆市国内售价以展示城市规划与发展为主题专业性场馆。</v>
      </c>
      <c r="E6" t="str">
        <f>INDEX(_xlfn._xlws.FILTER(报名明细!$I:$I,报名明细!$B:$B=$C6),1)</f>
        <v>展区管理员（学历：大专 专业要求：无）</v>
      </c>
      <c r="F6" t="str">
        <f>INDEX(_xlfn._xlws.FILTER(报名明细!$L:$L,报名明细!$B:$B=$C6),1)</f>
        <v>要求：（1）五官端正、形象气质号，女性165cm，男性175cm以上，年龄30岁以下。（2）语言表达能力强、善于沟通。普通话水平二级乙等以上或具备同等水平。（3）有较强的组织协调能力，团队协作能力，反应敏捷、能妥善处理游客的突发状况，且具备熟练的电脑操作知识。（4）具有一定的英语口语能力，能与外宾简单交流。薪资待遇：5000-6000元/月其他福利：早中餐、高温费、年终奖、大礼包等实习生3000元+500元全勤奖，国企，提供完善的培训，实习表现优秀者毕业后优先录用。录用后缴纳四金，提供年终奖、高温费、大礼包，详情面谈。</v>
      </c>
      <c r="G6" t="str">
        <f>INDEX(_xlfn._xlws.FILTER(报名明细!$I:$I,报名明细!$B:$B=$C6),2)</f>
        <v>空调维修实习工程师（学历：大专 专业要求：制冷与空调技术）</v>
      </c>
      <c r="H6" t="str">
        <f>INDEX(_xlfn._xlws.FILTER(报名明细!$L:$L,报名明细!$B:$B=$C6),2)</f>
        <v>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v>
      </c>
      <c r="I6" t="str">
        <f>INDEX(_xlfn._xlws.FILTER(报名明细!$I:$I,报名明细!$B:$B=$C6),3)</f>
        <v>空调维修工程师（学历：大专 专业要求：制冷与空调技术）</v>
      </c>
      <c r="J6" t="str">
        <f>INDEX(_xlfn._xlws.FILTER(报名明细!$L:$L,报名明细!$B:$B=$C6),3)</f>
        <v>职位描述人员要求：(1)年龄在50周岁以下，具备高中以上学历。(2)专业资格要求：具有制冷设备维修工（中级）及以上证书。(3)经验要求：连续从事本职业满二年。岗位职责：(1)负责市政府新闻发布会会场温度适宜，确保与会人员的舒适度；(2)保障各级会务场地、大型参观接待活动的温度适宜；(3)负责开、闭馆时空调设备开启、关闭工作；(4)空调制冷热主机的巡视、调节、记录；(5)展区空调点位现场巡视、测温、记录；(6)办公区域的现场巡视、测温、调节、记录；(7)急报修工作的安排、修理。(8)完成上级领导及馆主管部门交办的其他工作任务。职位福利：五险一金、高温补贴、加班补助、绩效奖金、餐补、带薪年假、定期体检、周末双休该岗位招募实习生，实习期间月薪3000+500全勤奖+500饭贴。</v>
      </c>
    </row>
    <row r="7" spans="1:10">
      <c r="A7" t="str">
        <f>_xlfn.XLOOKUP(C7,展区展位!A:A,展区展位!B:B)</f>
        <v>D教育/传媒/电竞</v>
      </c>
      <c r="B7" t="str">
        <f>_xlfn.XLOOKUP(C7,展区展位!A:A,展区展位!C:C)</f>
        <v>D17</v>
      </c>
      <c r="C7" t="s">
        <v>78</v>
      </c>
      <c r="D7" t="str">
        <f>_xlfn.XLOOKUP(C7,企业简介提取!B:B,企业简介提取!F:F)</f>
        <v>      上海点晴信息科技有限公司(ALCHEMYInformationtech-nology Co.,Ltd)
成立于2013年，是一家集独立游戏开发、高品质游戏美术制作服务及游戏美术赛事运营为一体的移动互联网公司。获高新技术企业，专精特新企业、科技小巨人企业、徐汇区企业技术中心、上海市设计创新中心等荣誉。
       作为腾讯，网易，育碧，米哈游，拳头，电魂，英雄互娱等知名研发公司的核心供……</v>
      </c>
      <c r="E7" t="str">
        <f>INDEX(_xlfn._xlws.FILTER(报名明细!$I:$I,报名明细!$B:$B=$C7),1)</f>
        <v>3D模型师/3D建模师（学历：大专 专业要求：无）</v>
      </c>
      <c r="F7" t="str">
        <f>INDEX(_xlfn._xlws.FILTER(报名明细!$L:$L,报名明细!$B:$B=$C7),1)</f>
        <v>负责制作游戏内相关道具场景的建模，熟练使用3Dmax，ps，maya，zb等软件，熟悉次世代制作流程者优先。</v>
      </c>
      <c r="G7" t="str">
        <f>INDEX(_xlfn._xlws.FILTER(报名明细!$I:$I,报名明细!$B:$B=$C7),2)</f>
        <v>PM（学历：本科 专业要求：应用韩语,日语,英语,商务英语）</v>
      </c>
      <c r="H7" t="str">
        <f>INDEX(_xlfn._xlws.FILTER(报名明细!$L:$L,报名明细!$B:$B=$C7),2)</f>
        <v>负责游戏美术项目管理工作，工作内容包括：1、负责与客户沟通与客户关系维护；2、制作资料整理，保障信息准确及时传达；3、及时发现并解决项目问题，有效预防及管理风险；5、制定有关计划，报告，时间表；6、协助领导做好项目统计工作；7、跟踪任务，及时解决问题保证产品顺利完成。任职要求：1、性格开朗，外向2、朝鲜族/日韩欧美留学经历为加分项；3、较强的沟通能力，并能够较好的协调各方面的关系；4、熟练运用办公软件；5、全日制本科及以上学历；6、接受热爱游戏，但没有相关工作经验的同学，会有专人带教的工作时间：9:30-18:00周末双休</v>
      </c>
      <c r="I7" t="str">
        <f>INDEX(_xlfn._xlws.FILTER(报名明细!$I:$I,报名明细!$B:$B=$C7),3)</f>
        <v>游戏2D原画设计师（学历：大专 专业要求：无）</v>
      </c>
      <c r="J7" t="str">
        <f>INDEX(_xlfn._xlws.FILTER(报名明细!$L:$L,报名明细!$B:$B=$C7),3)</f>
        <v>1、有扎实的美术基础，能把控画面整体氛围,造型能力强、色感优越，有较强的风格适应能力和学习能力（对二次元文化有深入研究者优先考虑）；2、熟悉主流游戏美术风格，且有较强的原创、创意能力。3、有一定的软件基础，能进行数字绘画（数位板使用），如：Photoshop,C4D,3Dmax以及各类数字绘画及辅助软件。4、热爱绘画，对商业插画有一定程度的涉猎，参与过实习/有游戏插画绘画经验者优先考虑；5、热爱游戏行业，对游戏制作有热情，有良好的沟通能力和团队合作意识，有较强的责任感，有较强的抗压能力和学习能力。6、艺术设计、工业设计、视觉传达、动画、游戏国画、版画、游戏美术等相关专业优先。</v>
      </c>
    </row>
    <row r="8" spans="1:10">
      <c r="A8" t="str">
        <f>_xlfn.XLOOKUP(C8,展区展位!A:A,展区展位!B:B)</f>
        <v>A机械/制造/能源</v>
      </c>
      <c r="B8" t="str">
        <f>_xlfn.XLOOKUP(C8,展区展位!A:A,展区展位!C:C)</f>
        <v>A23</v>
      </c>
      <c r="C8" t="s">
        <v>83</v>
      </c>
      <c r="D8" t="str">
        <f>_xlfn.XLOOKUP(C8,企业简介提取!B:B,企业简介提取!F:F)</f>
        <v>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v>
      </c>
      <c r="E8" t="str">
        <f>INDEX(_xlfn._xlws.FILTER(报名明细!$I:$I,报名明细!$B:$B=$C8),1)</f>
        <v>外贸业务助理（学历：大专 专业要求：国际经济与贸易,国际贸易学,贸易经济）</v>
      </c>
      <c r="F8" t="str">
        <f>INDEX(_xlfn._xlws.FILTER(报名明细!$L:$L,报名明细!$B:$B=$C8),1)</f>
        <v>1.英语大学四级及以上，书面英语读写无障碍，口语交流流利。2.优秀的沟通表达能力与亲和力，有出色的组织协调能力与执行力。3.工作积极主动、认真负责，责任心强。4.善于组织策划活动，有服务意识。5.持有有效驾照，驾驶技术熟练者优先。(因工作经常会涉及到海外客户接待需求)。</v>
      </c>
      <c r="G8" t="str">
        <f>INDEX(_xlfn._xlws.FILTER(报名明细!$I:$I,报名明细!$B:$B=$C8),2)</f>
        <v>主动营销（学历：大专 专业要求：电子商务,跨境电子商务,电子商务技术,电子商务类）</v>
      </c>
      <c r="H8" t="str">
        <f>INDEX(_xlfn._xlws.FILTER(报名明细!$L:$L,报名明细!$B:$B=$C8),2)</f>
        <v>要求：1：依托公司平台开发新客户，日常电话，邮件等多种方式开发及跟进海外客户。2：熟练运用各种搜索平台，能独立开发客户3：可熟练阅读和收发国外邮件，大专及以上学历，有较好的英文沟通能力4：良好的沟通，计划，执行及时间管理能力，具备较强的团队精神，工作认真，责任心强5：良好的文字功底，较强的网站专题策划和信息采编能力工作内容：1）社交媒体（FB,linkedin）新客户的开发2）老客户的维护</v>
      </c>
      <c r="I8" t="str">
        <f>INDEX(_xlfn._xlws.FILTER(报名明细!$I:$I,报名明细!$B:$B=$C8),3)</f>
        <v>文案实习生/英语编辑实习（学历：大专 专业要求：汉语言文学,英语,商务英语,英语语言文学,编辑出版学,新媒体艺术,市场营销,广告学）</v>
      </c>
      <c r="J8" t="str">
        <f>INDEX(_xlfn._xlws.FILTER(报名明细!$L:$L,报名明细!$B:$B=$C8),3)</f>
        <v>要求：1：有扎实的文字功底，中文，英文，编辑，媒体，市场营销，广告，汉语言文学专业皆可2：英语四级以上3：电脑使用熟练，能熟练操作各类办公软件工作内容：1：社交媒体日常文章的更新2：SEO文章的更新需求人数：2-4人女生优先备注：一天至少要写2-6篇原创文章（非AI写的文章），不符合要求的会需要修改，接受不了要修改的不要投</v>
      </c>
    </row>
    <row r="9" spans="1:10">
      <c r="A9" t="str">
        <f>_xlfn.XLOOKUP(C9,展区展位!A:A,展区展位!B:B)</f>
        <v>B互联网/电子/通信</v>
      </c>
      <c r="B9" t="str">
        <f>_xlfn.XLOOKUP(C9,展区展位!A:A,展区展位!C:C)</f>
        <v>B18</v>
      </c>
      <c r="C9" t="s">
        <v>100</v>
      </c>
      <c r="D9" t="str">
        <f>_xlfn.XLOOKUP(C9,企业简介提取!B:B,企业简介提取!F:F)</f>
        <v>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v>
      </c>
      <c r="E9" t="str">
        <f>INDEX(_xlfn._xlws.FILTER(报名明细!$I:$I,报名明细!$B:$B=$C9),1)</f>
        <v>广告运营专员（学历：大专 专业要求：无）</v>
      </c>
      <c r="F9" t="str">
        <f>INDEX(_xlfn._xlws.FILTER(报名明细!$L:$L,报名明细!$B:$B=$C9),1)</f>
        <v>岗位职责：1、与客户沟通，及时了解客户需求和广告投放计划；2、根据客户产品制定投放策略，指导客户有效执行；3、对广告投放进行效果监控，及时反馈，并定期制定数据分析报告；4、跟进续费事宜，维护客户关系，确保客户长期合作；5、定期拜访客户，了解需求和效果，以便做账户优化和调整。任职要求：1、专业不限，积极主动，执行力强，踏实稳定，有强烈责任心和沟通能力；2、能熟练运用excel、PPT等办公软件；3、实习生可免费提供住宿，可转正。</v>
      </c>
      <c r="G9" t="str">
        <f>INDEX(_xlfn._xlws.FILTER(报名明细!$I:$I,报名明细!$B:$B=$C9),2)</f>
        <v>总经理助理（学历：本科 专业要求：法学,中国语言与文化,应用语言学,汉语言文学）</v>
      </c>
      <c r="H9" t="str">
        <f>INDEX(_xlfn._xlws.FILTER(报名明细!$L:$L,报名明细!$B:$B=$C9),2)</f>
        <v>职位描述1、学习互联网广告公司（抖音、必应等）产品的理念、功能、应用场景及落地；2、学习公司理念和团队管理，项目执行落地经验；3、总经理直接带教，出席各种商业谈判和沙龙，拓宽高端人脉；4、负责公司内部各部门负责人之间的沟通协调，以达到高效推进项目，解决问题；5、迅速从基层向中层管理岗蜕变，能独立承接业务并完成业务输出；6、关注客户的使用情况，为客户提供运营支持服务，提高客户组织的活跃度；7、完成上级领导交代的其他任务；职位要求1、统招一本本科学历，985/211院校，工作经验1年及以上，互联网广告行业经验优先；2、有非常强的学习能力，较强的文字功底，形象气质佳；3、价值观正向、开放热情，对商业、组织有强烈的好奇心；4、较强的思考及创造力，能够超出现有框架提出并落地增值建议；5、对为客户创造价值有浓厚的兴趣；6、喜欢接受挑战、喜欢创新与实践，勤于思考；7、有非常好的表达能力，逻辑清晰、语言干练，普通话标准；8、较强的资源协调能力、合作能力、善于沟通、自驱力强；</v>
      </c>
      <c r="I9" t="str">
        <f>INDEX(_xlfn._xlws.FILTER(报名明细!$I:$I,报名明细!$B:$B=$C9),3)</f>
        <v>360广告销售（学历：大专 专业要求：无）</v>
      </c>
      <c r="J9" t="str">
        <f>INDEX(_xlfn._xlws.FILTER(报名明细!$L:$L,报名明细!$B:$B=$C9),3)</f>
        <v>岗位职责：1、负责开发360搜索推广的B端广告客户的开拓；2、针对客户的常规和突发问题，有良好的分析、判断及独立解决问题的能力；3、对互联网行业新生产品或事物保持敏感度，时刻了解掌握全行业最新动态及竞品信息；4、具备良好的沟通表达能力、出色的公关客情的能力，并能对客户进行长期维护回访；5、与各团队保持良好沟通，建立深度关系，深度了解公司产业业务及相关知识。任职要求：1、学历不限，可接受优秀新人和实习生；2、性格开朗，愿意与人沟通交流，愿意挑战高薪；3、实习生可以提供免费住宿，正式工可酌情商量。</v>
      </c>
    </row>
    <row r="10" spans="1:10">
      <c r="A10" t="str">
        <f>_xlfn.XLOOKUP(C10,展区展位!A:A,展区展位!B:B)</f>
        <v>D教育/传媒/电竞</v>
      </c>
      <c r="B10" t="str">
        <f>_xlfn.XLOOKUP(C10,展区展位!A:A,展区展位!C:C)</f>
        <v>D26</v>
      </c>
      <c r="C10" t="s">
        <v>105</v>
      </c>
      <c r="D10" t="str">
        <f>_xlfn.XLOOKUP(C10,企业简介提取!B:B,企业简介提取!F:F)</f>
        <v>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v>
      </c>
      <c r="E10" t="str">
        <f>INDEX(_xlfn._xlws.FILTER(报名明细!$I:$I,报名明细!$B:$B=$C10),1)</f>
        <v>会展项目执行及管理（学历：大专 专业要求：无）</v>
      </c>
      <c r="F10" t="str">
        <f>INDEX(_xlfn._xlws.FILTER(报名明细!$L:$L,报名明细!$B:$B=$C10),1)</f>
        <v>1.项目策划与执行：参与展会项目的策划，包括但不限于确定展会主题、制定展会流程、安排展会时间表等，确保项目从策划到执行的顺利进行。2.沟通协调：与各部门、参展商、供应商等建立有效的沟通机制，确保信息的准确传达和项目的顺利推进。3.现场管理：在展会期间，负责现场的协调与管理工作，确保展会现场的秩序和安全。4.数据分析与报告：收集展会相关数据，进行分析并撰写报告，为公司的决策提供有力支持。岗位要求：展会现场执行、并辅助项目经理做好向下内部管理工作，例如：各类人员招募、礼品物料整理、了解基础搭建及制作知识，简单制作统计表等；具有一定的社交能力。</v>
      </c>
      <c r="G10" t="str">
        <f>INDEX(_xlfn._xlws.FILTER(报名明细!$I:$I,报名明细!$B:$B=$C10),2)</f>
        <v>总经理助理（学历：大专 专业要求：无）</v>
      </c>
      <c r="H10" t="str">
        <f>INDEX(_xlfn._xlws.FILTER(报名明细!$L:$L,报名明细!$B:$B=$C10),2)</f>
        <v>工作内容：1.负责公司推广、项目规划以及日常运营。2.制定公司激励制度以及奖惩制度，做好公司内部人员管理。3.协助项目经理做好成本控制以及公司整体运营成本。辅助总经理对外商务洽谈，对内人员管理以及项目管理与核查。任职要求：1.有团队管理经验，负责过企业或学校的团队管理。2.从事过广告或会展行业者优先。福利：一年20天以上带薪休假</v>
      </c>
      <c r="I10" t="str">
        <f>INDEX(_xlfn._xlws.FILTER(报名明细!$I:$I,报名明细!$B:$B=$C10),3)</f>
        <v>广告设计（学历：大专 专业要求：无）</v>
      </c>
      <c r="J10" t="str">
        <f>INDEX(_xlfn._xlws.FILTER(报名明细!$L:$L,报名明细!$B:$B=$C10),3)</f>
        <v>工作内容：1、负责企业宣传资料（如画册、海报、易拉宝、展板）的平面设计，结合品牌定位进行视觉呈现。使用设计软件（AdobePhotoshop、AdobeIllustrator等）进行图片处理、排版设计等工作。2、负责协助短视频、宣传片、活动记录等内容的剪辑和后期制作，确保视频内容流程，视觉效果突出，协助团队完成视频创意策划。3、协助团队完成其他文化传播、活动策划相关的工作。任职要求：1、艺术设计、视觉传达、广告学等相关专业大专及以上学历。2、熟悉广告设计原理、印刷工艺及数字媒体特性3、精通Photoshop、Illustrator、CorelDRAW等平面设计工具，掌握AE/PR（视频剪辑）、InDesign（排版）者优先。福利：一年20天以上带薪休假</v>
      </c>
    </row>
    <row r="11" spans="1:10">
      <c r="A11" t="str">
        <f>_xlfn.XLOOKUP(C11,展区展位!A:A,展区展位!B:B)</f>
        <v>E城市运营与技术服务</v>
      </c>
      <c r="B11" t="str">
        <f>_xlfn.XLOOKUP(C11,展区展位!A:A,展区展位!C:C)</f>
        <v>E13</v>
      </c>
      <c r="C11" t="s">
        <v>109</v>
      </c>
      <c r="D11" t="str">
        <f>_xlfn.XLOOKUP(C11,企业简介提取!B:B,企业简介提取!F:F)</f>
        <v>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
在公众物业管理领域，明华在上海乃至国内……</v>
      </c>
      <c r="E11" t="str">
        <f>INDEX(_xlfn._xlws.FILTER(报名明细!$I:$I,报名明细!$B:$B=$C11),1)</f>
        <v>展馆管理（学历：大专 专业要求：无）</v>
      </c>
      <c r="F11" t="str">
        <f>INDEX(_xlfn._xlws.FILTER(报名明细!$L:$L,报名明细!$B:$B=$C11),1)</f>
        <v>岗位职责1.学习了解场馆内容主题，整理讲解词，向游客进行解说工作；2.负责场馆内指引接待工作，维护参观秩序；3.协助做好团队的其他工作。任职资格1.有亲和力，形象气质佳；2.有较强的语言表达能力，普通话标准；3.熟练掌握办公软件操作能力。</v>
      </c>
      <c r="G11" t="str">
        <f>INDEX(_xlfn._xlws.FILTER(报名明细!$I:$I,报名明细!$B:$B=$C11),2)</f>
        <v>行政助理（学历：大专 专业要求：无）</v>
      </c>
      <c r="H11" t="str">
        <f>INDEX(_xlfn._xlws.FILTER(报名明细!$L:$L,报名明细!$B:$B=$C11),2)</f>
        <v>岗位职责在带教人指导下，协助完成日常行政事务、文档处理、信息整理及基础沟通协调工作，同时熟悉办公流程与职场规范，提升基础办公技能。1.文档处理与资料管理-协助进行文档的录入、排版、打印、复印与装订，确保文档格式规范、内容准确。-参与资料的整理与归档，2.日常行政事务协助-负责办公区域的基础后勤支持，如整理办公环境、补充办公用品（笔、纸、打印机耗材等）、登记领用情况。-协助接待来访人员，做好引导、登记，通知相关同事对接；3.信息整理与数据统计-协助收集、整理各类基础信息，按照要求进行简单的分类与汇总。-及时更新基础信息台账，保证信息的时效性。4.沟通协调与事务跟进-协助在部门内部或跨部门间传递文件、传达简单通知，确保信息传递及时。-跟进简单事务的进展（如待办事项、任务反馈等），并向带教人或上级汇报进度。任职资格1.仔细认真，沟通协调能力较强；2.办公软件熟练；3.有意向在物业行业长期发展者优先。</v>
      </c>
      <c r="I11" t="str">
        <f>INDEX(_xlfn._xlws.FILTER(报名明细!$I:$I,报名明细!$B:$B=$C11),3)</f>
        <v>工程技术（学历：初中及以下 专业要求：无）</v>
      </c>
      <c r="J11" t="str">
        <f>INDEX(_xlfn._xlws.FILTER(报名明细!$L:$L,报名明细!$B:$B=$C11),3)</f>
        <v>岗位职责协助完成水电设施的日常巡检、维护、简单安装及维修工作，同时学习并掌握水电系统的基础原理、安全规范和实操技能。1.协助日常巡检与维护-跟随带教人对建筑物内的水电设施，进行定期巡检，记录设备运行状态。-协助完成水电设施的日常保养工作，-发现水电设施异常时，及时向带教人或上级汇报，并协助做好问题记录。2.辅助维修与安装工作-在带教人指导下，协助完成简单的维修任务，-参与水电安装的辅助工作，-维修或安装完成后，协助清理现场，整理工具和剩余材料任职资格：1.持证上岗（高、低压证、空调证等均可）；2.认真负责，沟通协调能力强；3.有意向在物业行业长期发展；</v>
      </c>
    </row>
    <row r="12" spans="1:10">
      <c r="A12" t="str">
        <f>_xlfn.XLOOKUP(C12,展区展位!A:A,展区展位!B:B)</f>
        <v>D教育/传媒/电竞</v>
      </c>
      <c r="B12" t="str">
        <f>_xlfn.XLOOKUP(C12,展区展位!A:A,展区展位!C:C)</f>
        <v>D20</v>
      </c>
      <c r="C12" t="s">
        <v>125</v>
      </c>
      <c r="D12" t="str">
        <f>_xlfn.XLOOKUP(C12,企业简介提取!B:B,企业简介提取!F:F)</f>
        <v>樱帆电竞成立于2015年8月， 以电竞赛事组织策划执行和直转播节目制 作为业务核心。赛事组织板块已经完成过2018年雅加达亚运会、2018-2019年WESG 全球总决赛、2019-2024OPL 职业联赛等各类国   内外高级别比赛的赛事组织工作，时至今日樱帆电竞已经完成超过500个 游戏项目赛事组织执行工作。2021年公司成立直转播节目制作业务板块，完成了征途全民争霸赛总决赛暨年终盛典、三届永……</v>
      </c>
      <c r="E12" t="str">
        <f>INDEX(_xlfn._xlws.FILTER(报名明细!$I:$I,报名明细!$B:$B=$C12),1)</f>
        <v>电竞赛事直转播播控岗位实习生（学历：大专 专业要求：广播电视学,广播电视,广播影视节目制作,广播电视编导）</v>
      </c>
      <c r="F12" t="str">
        <f>INDEX(_xlfn._xlws.FILTER(报名明细!$L:$L,报名明细!$B:$B=$C12),1)</f>
        <v>一、职位概述参与电竞赛事直转播工作，协助专业团队确保赛事直播的顺利进行。二、主要职责1.直播协助●深度参与电竞赛事直转播过程中的播控操作工作，包括但不限于设备的开启与关闭、信号切换、画面调整等。●密切监控直播信号，及时发现并反馈直播中的异常情况，确保直播质量。2.学习提升●学习电竞赛事直转播的流程和技术，熟悉各类播控设备的使用。●参加内部培训，提升专业技能和对电竞行业的认知。3.资料整理●整理电竞赛事直转播相关的技术资料和数据记录。●协助撰写简单的直播报告。4.播控任务●完成上级交办的其他与电竞赛事直转播播控相关的工作。内容包含但不限于导播切台、VCR、字幕机等。三、任职要求1.专业背景●传媒、广播电视、数字媒体技术、电子竞技等相关专业优先。2.技能要求●具备一定的计算机操作能力，熟悉常用办公软件。●对电竞有浓厚兴趣，了解电竞赛事直播特点，需要有一定的相关经验(社团、兼职等均可)。3.态度品质●工作认真负责，细心耐心，有较强的学习能力和团队合作精神。4.学历要求●大专以上学历，26届27届毕业生优先。</v>
      </c>
      <c r="G12" t="str">
        <f>INDEX(_xlfn._xlws.FILTER(报名明细!$I:$I,报名明细!$B:$B=$C12),2)</f>
        <v>电竞赛事实习导演（学历：大专 专业要求：影视编导,新闻传播学类,新闻与传播,新闻传播学）</v>
      </c>
      <c r="H12" t="str">
        <f>INDEX(_xlfn._xlws.FILTER(报名明细!$L:$L,报名明细!$B:$B=$C12),2)</f>
        <v>岗位概述：作为公司导演及创意方向的核心管培生，你将参与到行业细分领域最头部的各项电竞赛事及内容节目的全流程导演工作中。我们希望你具备自主学习、钻研创新、吃苦耐劳的优秀品质和能力，对游戏和电竞内容抱有浓厚兴趣与较高审美。公司会针对管培安排包含培训、考核、轮岗等多样化的培养计划，并对表现优秀者优先招聘录用。一、岗位职责：1.【创意策划】：协助总导演对接产品相关的线上线下活动的前期创意策划，能够根据客户的需求，协助分析赛事或活动举办的底层逻辑；2.【筹备推进】：根据策划方案，协助总导演深化产出流程RD、视觉包装设计等创意落地方案，协助并确保各项产出匹配预期规划，保证项目顺利完成；3.【沟通协作】：协助总导演做好内外部的沟通管理与协调工作。在跨部门协作中，能够帮助总导演做到及时高效精准的信息沟通，保持各部门之间良好持久的协作关系，有效帮助工作推进。熟练掌握英/日/韩等外语书面及口语沟通能力者加分；4.【落地执行】：赛事/活动执行的彩排与直播期间，协助总导演完成现场的执行导演工作；5【复盘总结】：协助总导演对完成项目进行总结复盘，系统化整理与分享经验。二、任职要求:1.大专及以上学历，影视编导、……</v>
      </c>
      <c r="I12" t="str">
        <f>INDEX(_xlfn._xlws.FILTER(报名明细!$I:$I,报名明细!$B:$B=$C12),3)</f>
        <v>电竞赛事执行（学历：大专 专业要求：体育学类,广播影视节目制作,文化服务类,广告学）</v>
      </c>
      <c r="J12" t="str">
        <f>INDEX(_xlfn._xlws.FILTER(报名明细!$L:$L,报名明细!$B:$B=$C12),3)</f>
        <v>一、游戏硬性要求：包括但不限于以下两款游戏，可接受入职之后再熟悉拳皇KOF全系列【1、拳皇KOF全系列（97-15均可），街霸6，铁拳等游戏，以上游戏单产品游戏时长50小时以上】【2、瓦罗兰特，游戏段位要求达到超凡】二、岗位要求：1、有拳皇系列&amp;街霸6等格斗游戏经验的优先；2、有国内城市办赛经验者优先；3、熟练excel、word、PPT等日常办公软件；4、熟悉市场主流游戏的游戏机制和赛事规则；5、具有一定沟通、抗压能力，擅长对接及协助工作；三、任职要求1.专业背景●传媒、广播电视、数字媒体技术、电子竞技等相关专业优先。2.技能要求●具备一定的计算机操作能力，熟悉常用办公软件。●对电竞有浓厚兴趣，了解电竞赛事直播特点。3.态度品质●工作认真负责，细心耐心，有较强的学习能力和团队合作精神。4.学历要求●大专以上学历，26届27届毕业生优先。小贴士：公司比较看重岗位匹配度，同时也致力于挖掘每一位求职者的潜在能力，让大家能在最适合的岗位上发光发热。</v>
      </c>
    </row>
    <row r="13" spans="1:10">
      <c r="A13" t="str">
        <f>_xlfn.XLOOKUP(C13,展区展位!A:A,展区展位!B:B)</f>
        <v>A机械/制造/能源</v>
      </c>
      <c r="B13" t="str">
        <f>_xlfn.XLOOKUP(C13,展区展位!A:A,展区展位!C:C)</f>
        <v>A16</v>
      </c>
      <c r="C13" t="s">
        <v>145</v>
      </c>
      <c r="D13" t="str">
        <f>_xlfn.XLOOKUP(C13,企业简介提取!B:B,企业简介提取!F:F)</f>
        <v>      上海天安轴承有限公司为上海电气集团旗下上海集优机械有限公司的全资企业，位于上海市闵行区莘庄工业园区银都路4399号，具有60多年的生产历史。
      公司专业生产具有高精度、高转速、高灵敏度、低噪音、长寿命的微型轴承，并对轴承产品进行技术开发和产品售后服务。产品广泛运用于航空航天、工业装备、汽车医疗等行业，性能达到国际领先水平。
      近几年公司大力支持国家航天事业，已为“天……</v>
      </c>
      <c r="E13" t="str">
        <f>INDEX(_xlfn._xlws.FILTER(报名明细!$I:$I,报名明细!$B:$B=$C13),1)</f>
        <v>数控操作（学历：大专 专业要求：无）</v>
      </c>
      <c r="F13" t="str">
        <f>INDEX(_xlfn._xlws.FILTER(报名明细!$L:$L,报名明细!$B:$B=$C13),1)</f>
        <v>1、按作业指导书及设备操作规程，正确操作和保养数控机床2、对数控机床进行加工编程、线切割3、做好加工零件的自查，确保加工产品合格率</v>
      </c>
      <c r="G13" t="str">
        <f>INDEX(_xlfn._xlws.FILTER(报名明细!$I:$I,报名明细!$B:$B=$C13),2)</f>
        <v>电气维修（学历：大专 专业要求：无）</v>
      </c>
      <c r="H13" t="str">
        <f>INDEX(_xlfn._xlws.FILTER(报名明细!$L:$L,报名明细!$B:$B=$C13),2)</f>
        <v>负责公司电气故障的排除；对公司内用电的分配、设计及用电管理工作；监督检查变电所管理制度的执行情况及备件管理工作</v>
      </c>
      <c r="I13" t="str">
        <f>INDEX(_xlfn._xlws.FILTER(报名明细!$I:$I,报名明细!$B:$B=$C13),3)</f>
        <v>设备维修（学历：大专 专业要求：无）</v>
      </c>
      <c r="J13" t="str">
        <f>INDEX(_xlfn._xlws.FILTER(报名明细!$L:$L,报名明细!$B:$B=$C13),3)</f>
        <v>对设备的机械、液压、气动系统的故障、磨损进行维修，确保生产；对设备进行点检、保养工作负责设备的日常报表填写</v>
      </c>
    </row>
    <row r="14" spans="1:10">
      <c r="A14" t="str">
        <f>_xlfn.XLOOKUP(C14,展区展位!A:A,展区展位!B:B)</f>
        <v>F综合</v>
      </c>
      <c r="B14" t="str">
        <f>_xlfn.XLOOKUP(C14,展区展位!A:A,展区展位!C:C)</f>
        <v>F10</v>
      </c>
      <c r="C14" t="s">
        <v>180</v>
      </c>
      <c r="D14" t="str">
        <f>_xlfn.XLOOKUP(C14,企业简介提取!B:B,企业简介提取!F:F)</f>
        <v>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
加行为医疗机构、科……</v>
      </c>
      <c r="E14" t="str">
        <f>INDEX(_xlfn._xlws.FILTER(报名明细!$I:$I,报名明细!$B:$B=$C14),1)</f>
        <v>安装维护（学历：大专 专业要求：无）</v>
      </c>
      <c r="F14" t="str">
        <f>INDEX(_xlfn._xlws.FILTER(报名明细!$L:$L,报名明细!$B:$B=$C14),1)</f>
        <v>支持公司安装维护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v>
      </c>
      <c r="G14" t="str">
        <f>INDEX(_xlfn._xlws.FILTER(报名明细!$I:$I,报名明细!$B:$B=$C14),2)</f>
        <v>销售助理（学历：大专 专业要求：无）</v>
      </c>
      <c r="H14" t="str">
        <f>INDEX(_xlfn._xlws.FILTER(报名明细!$L:$L,报名明细!$B:$B=$C14),2)</f>
        <v>协助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v>
      </c>
      <c r="I14" t="str">
        <f>INDEX(_xlfn._xlws.FILTER(报名明细!$I:$I,报名明细!$B:$B=$C14),3)</f>
        <v>技术支持（学历：大专 专业要求：无）</v>
      </c>
      <c r="J14" t="str">
        <f>INDEX(_xlfn._xlws.FILTER(报名明细!$L:$L,报名明细!$B:$B=$C14),3)</f>
        <v>支持公司技术支持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v>
      </c>
    </row>
    <row r="15" spans="1:10">
      <c r="A15" t="str">
        <f>_xlfn.XLOOKUP(C15,展区展位!A:A,展区展位!B:B)</f>
        <v>A机械/制造/能源</v>
      </c>
      <c r="B15" t="str">
        <f>_xlfn.XLOOKUP(C15,展区展位!A:A,展区展位!C:C)</f>
        <v>A22</v>
      </c>
      <c r="C15" t="s">
        <v>189</v>
      </c>
      <c r="D15" t="str">
        <f>_xlfn.XLOOKUP(C15,企业简介提取!B:B,企业简介提取!F:F)</f>
        <v>上海置道液压控制技术有限公司自2005年成立以来，致力于拥有自主知识产权和行业核心竞争力的专业液压控制系统集成供应商，是国家高新技术企业，上海市专精特新重点企业，创新型科技企业。
  公司集“研发、设计、生产、销售及系统工程服务”于一体，主要业务涉及电力、新能源、化工、钢铁、船舶等领域，现正积极研究和拓展智能化电液系统集成业务。
       公司技术和管理人员主要来自国际知名大公司及国内著名大型……</v>
      </c>
      <c r="E15" t="str">
        <f>INDEX(_xlfn._xlws.FILTER(报名明细!$I:$I,报名明细!$B:$B=$C15),1)</f>
        <v>质检员（学历：本科 专业要求：无）</v>
      </c>
      <c r="F15" t="str">
        <f>INDEX(_xlfn._xlws.FILTER(报名明细!$L:$L,报名明细!$B:$B=$C15),1)</f>
        <v>任职及岗位要求：1.较强的学习、交流、沟通能力，具有团队合作精神2.为人诚信，工作认真负责，高度敬业精神,服从团队工作安排。3.熟练办公自动化软件（word,excel,PPT等）工作地点：上海或外派办事处</v>
      </c>
      <c r="G15" t="str">
        <f>INDEX(_xlfn._xlws.FILTER(报名明细!$I:$I,报名明细!$B:$B=$C15),2)</f>
        <v>行政助理（学历：本科 专业要求：行政管理,人力资源管理,文秘类）</v>
      </c>
      <c r="H15" t="str">
        <f>INDEX(_xlfn._xlws.FILTER(报名明细!$L:$L,报名明细!$B:$B=$C15),2)</f>
        <v>任职及岗位要求：1.为人诚信，工作认真负责，高度敬业精神。2.协助管理层内部行政沟通协调及文档管理，文字功底较好。3.协助并陪同公司高层接待和拜访公司重要客户。4.管理层培训与拓展的策划和安排。5.社会公益等非经营性活动的参与安排。6.本岗位优先考虑女性。工作地点：上海</v>
      </c>
      <c r="I15" t="str">
        <f>INDEX(_xlfn._xlws.FILTER(报名明细!$I:$I,报名明细!$B:$B=$C15),3)</f>
        <v>调试及服务人员（学历：大专 专业要求：机械工程,机械设计制造及其自动化,机械制造及其自动化,机械设计及理论,机械设计与制造,机械制造与自动化,机械装备制造技术,船舶机械工程技术,机械类,机械）</v>
      </c>
      <c r="J15" t="str">
        <f>INDEX(_xlfn._xlws.FILTER(报名明细!$L:$L,报名明细!$B:$B=$C15),3)</f>
        <v>任职及岗位要求:1.职高及以上文凭（机电一体化或机械自动化优先）2.勤奋肯学，善于同现场客户沟通，为人正直。3.通过短时间培训，能够看懂机械液压设备的装配图、系统原理图、管路图等，根据图纸完成厂内机械液压设备装配、调试。4.通过短时间培训可以根据图纸的技术要求完成机械液压设备调试5.根据电气图纸进行简单的查线，端子图接线，会简单电脑操作6.胜任在厂内及现场对液压设备的安装和调试工作进行指导。工作地点：上海或外派办事处</v>
      </c>
    </row>
    <row r="16" spans="1:10">
      <c r="A16" t="str">
        <f>_xlfn.XLOOKUP(C16,展区展位!A:A,展区展位!B:B)</f>
        <v>C汽车/服装/贸易</v>
      </c>
      <c r="B16" t="str">
        <f>_xlfn.XLOOKUP(C16,展区展位!A:A,展区展位!C:C)</f>
        <v>C18</v>
      </c>
      <c r="C16" t="s">
        <v>194</v>
      </c>
      <c r="D16" t="str">
        <f>_xlfn.XLOOKUP(C16,企业简介提取!B:B,企业简介提取!F:F)</f>
        <v>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
迄今为止，澳康达发展成为一个全球知名的二手车独立经销商。2013年投入使用的深圳澳康达名车广场，首创了自有品牌+自建物业+自主经营的二手车发展之……</v>
      </c>
      <c r="E16" t="str">
        <f>INDEX(_xlfn._xlws.FILTER(报名明细!$I:$I,报名明细!$B:$B=$C16),1)</f>
        <v>汽车学徒（学历：中专/技校 专业要求：无）</v>
      </c>
      <c r="F16" t="str">
        <f>INDEX(_xlfn._xlws.FILTER(报名明细!$L:$L,报名明细!$B:$B=$C16),1)</f>
        <v>1、严格依照标准化操作流程进行对车辆全车抛光、打蜡工作/钣金/轮胎2、施工结束后对施工结果进行自检，保证施工质量3、维护好本车间的环境卫生，保持车间整洁，保管好施工设备和施工工具4、服从公司调度及上级领导安排</v>
      </c>
      <c r="G16" t="str">
        <f>INDEX(_xlfn._xlws.FILTER(报名明细!$I:$I,报名明细!$B:$B=$C16),2)</f>
        <v>销售顾问（学历：大专 专业要求：无）</v>
      </c>
      <c r="H16" t="str">
        <f>INDEX(_xlfn._xlws.FILTER(报名明细!$L:$L,报名明细!$B:$B=$C16),2)</f>
        <v>岗位职责：1、负责整车销售服务和进店客户咨询服务；2、负责整车各车型的销售资料及客户档案；3、负责挖掘客户需求，实现产品销售；4、负责售前业务跟进及售后客户维系工作。上班时间：早班8:30-18:30晚班12：00-21:30，欢迎没有销售经验的新手来挑战。任职要求：1.高中或中专（含）以上学历。年龄18岁-35岁，五官端正，气质良好。2.有服务意识，诚信，积极有团队合作精神，能吃苦耐劳。3.对汽车行业感兴趣，具有一定的销售技巧。</v>
      </c>
      <c r="I16" t="str">
        <f>INDEX(_xlfn._xlws.FILTER(报名明细!$I:$I,报名明细!$B:$B=$C16),3)</f>
        <v>客服管培生（学历：大专 专业要求：无）</v>
      </c>
      <c r="J16" t="str">
        <f>INDEX(_xlfn._xlws.FILTER(报名明细!$L:$L,报名明细!$B:$B=$C16),3)</f>
        <v>岗位：客服管培生薪资：基本工资5500元+绩效要求：1、形象好、气质佳、有亲和力；2、女165cm以上；3、具备一定的服务意识。以上岗位均免费提供食宿</v>
      </c>
    </row>
    <row r="17" spans="1:10">
      <c r="A17" t="str">
        <f>_xlfn.XLOOKUP(C17,展区展位!A:A,展区展位!B:B)</f>
        <v>A机械/制造/能源</v>
      </c>
      <c r="B17" t="str">
        <f>_xlfn.XLOOKUP(C17,展区展位!A:A,展区展位!C:C)</f>
        <v>A01</v>
      </c>
      <c r="C17" t="s">
        <v>219</v>
      </c>
      <c r="D17" t="str">
        <f>_xlfn.XLOOKUP(C17,企业简介提取!B:B,企业简介提取!F:F)</f>
        <v>八O二所，是我国从事精确制导、光电近程探测、空间探测与遥感、数据通信、电磁散射辐射与环境效应、智能交通与探测、智能制造、智慧安防等领域技术研究、产品研制试验与生产的国家重点科研单位。
经过五十余年的发展，八O二所在专业发展、科研任务、科研基础条件、人才队伍和企业文化等各方面取得了瞩目的成绩，目前拥有一个国家级重点实验室、两个上海市级重点实验室和工程技术中心以及集团公司精确制导研发中心、交通感知雷达……</v>
      </c>
      <c r="E17" t="str">
        <f>INDEX(_xlfn._xlws.FILTER(报名明细!$I:$I,报名明细!$B:$B=$C17),1)</f>
        <v>无线电调试岗（学历：大专 专业要求：无）</v>
      </c>
      <c r="F17" t="str">
        <f>INDEX(_xlfn._xlws.FILTER(报名明细!$L:$L,报名明细!$B:$B=$C17),1)</f>
        <v>机械、电子类相关专业，有仪器、仪表使用经验者优先。</v>
      </c>
      <c r="G17" t="str">
        <f>INDEX(_xlfn._xlws.FILTER(报名明细!$I:$I,报名明细!$B:$B=$C17),2)</f>
        <v>机械装配岗（学历：大专 专业要求：无）</v>
      </c>
      <c r="H17" t="str">
        <f>INDEX(_xlfn._xlws.FILTER(报名明细!$L:$L,报名明细!$B:$B=$C17),2)</f>
        <v>结构与机构装配岗，有技能等级证书者优先。</v>
      </c>
      <c r="I17" t="str">
        <f>INDEX(_xlfn._xlws.FILTER(报名明细!$I:$I,报名明细!$B:$B=$C17),3)</f>
        <v>通信系统总特设计师（学历：博士 专业要求：无）</v>
      </c>
      <c r="J17" t="str">
        <f>INDEX(_xlfn._xlws.FILTER(报名明细!$L:$L,报名明细!$B:$B=$C17),3)</f>
        <v>详见招聘简章，具体岗位需求及任职资格面谈。</v>
      </c>
    </row>
    <row r="18" spans="1:10">
      <c r="A18" t="str">
        <f>_xlfn.XLOOKUP(C18,展区展位!A:A,展区展位!B:B)</f>
        <v>B互联网/电子/通信</v>
      </c>
      <c r="B18" t="str">
        <f>_xlfn.XLOOKUP(C18,展区展位!A:A,展区展位!C:C)</f>
        <v>B04</v>
      </c>
      <c r="C18" t="s">
        <v>248</v>
      </c>
      <c r="D18" t="str">
        <f>_xlfn.XLOOKUP(C18,企业简介提取!B:B,企业简介提取!F:F)</f>
        <v>鲸鱼机器人专注于青少年人工智能与教育机器人领域，是集机器人软硬件的设计、研发、生产、销售为一体的高科技公司。</v>
      </c>
      <c r="E18" t="str">
        <f>INDEX(_xlfn._xlws.FILTER(报名明细!$I:$I,报名明细!$B:$B=$C18),1)</f>
        <v>科技馆店员（学历：大专 专业要求：无）</v>
      </c>
      <c r="F18" t="str">
        <f>INDEX(_xlfn._xlws.FILTER(报名明细!$L:$L,报名明细!$B:$B=$C18),1)</f>
        <v>岗位职责:1、服务引导：承担游客的引导、与游玩提供基础服务2、活动与执行人员：负责组织场馆内活动、及其他互动项目，提升游客的参与感和体验感，同时配合其他部门完成临时性工作3、设备维护人员：负责场馆内展品及设备的日常维护与检修，确保展品功能正常，为游客提供良好的互动体验4、安全与秩序管理人员：负责维护场馆内外的秩序，确保游客环境安全，并处理突发情况，如人员疏散或紧急救援5、其他辅助人员：根据实际需求，配合其他部门完成临时性工作，如场馆清洁、车辆协调等任职要求:1、有1年以上儿童乐园、亲子场馆工作经验优先2、有良好的服务意识，亲善友好，能主动为顾客解决问题3、较强的口头沟通能力</v>
      </c>
      <c r="G18" t="str">
        <f>INDEX(_xlfn._xlws.FILTER(报名明细!$I:$I,报名明细!$B:$B=$C18),2)</f>
        <v>技术服务实习生（学历：大专 专业要求：无）</v>
      </c>
      <c r="H18" t="str">
        <f>INDEX(_xlfn._xlws.FILTER(报名明细!$L:$L,报名明细!$B:$B=$C18),2)</f>
        <v>工作职责1、处理用户咨询与反馈，提供专业、及时的解答；2、协助分析客户诉求，推动问题高效解决；3、记录并整理客诉数据，为产品优化提供支持；4、团队协作，共同提升用户满意度。任职要求1、本科及以上学历，专业不限，有客服或机构教育经验者优先；2、具备优秀的沟通能力和同理心，能耐心应对各种用户场景；3、逻辑清晰，善于总结，对数据敏感；4、积极主动，有责任心和团队精神；5、对教育科技、机器人行业感兴趣者加分！</v>
      </c>
      <c r="I18" t="str">
        <f>INDEX(_xlfn._xlws.FILTER(报名明细!$I:$I,报名明细!$B:$B=$C18),3)</f>
        <v>研学交付实习生（学历：大专 专业要求：无）</v>
      </c>
      <c r="J18" t="str">
        <f>INDEX(_xlfn._xlws.FILTER(报名明细!$L:$L,报名明细!$B:$B=$C18),3)</f>
        <v>AI机器人幼儿中小学教育背景工作职责1．协助机器人研学活动前期物料、教具准备与检查工作；2．支持活动现场执行，辅助主讲导师完成教学任务；3．经过培训，可独立进行展厅/工厂等内容讲解，组织学生课程活动;4．负责活动现场照片、视频等素材拍摄及整理；5．参与活动后设备回收、物料清点、场地整理及反馈数据的收集与汇总；6．完成团队负责人安排的其他相关工作。任职要求1．专科及以上学历，理工科、教育类、学前教育相关专业背景优先。2．有机器人、编程、无人机经验者优先；3．具备较强的动手能力和沟通能力，乐于接触新科技产品；4．拥有出色的沟通表达和互动引导能力，喜欢孩子，有耐心和热情；5．责任心强，积极主动，注重细节，具备优秀的团队协作精神；6．根据活动需求，适应偶尔周末工作（有调休）。</v>
      </c>
    </row>
    <row r="19" spans="1:10">
      <c r="A19" t="str">
        <f>_xlfn.XLOOKUP(C19,展区展位!A:A,展区展位!B:B)</f>
        <v>E城市运营与技术服务</v>
      </c>
      <c r="B19" t="str">
        <f>_xlfn.XLOOKUP(C19,展区展位!A:A,展区展位!C:C)</f>
        <v>E02</v>
      </c>
      <c r="C19" t="s">
        <v>262</v>
      </c>
      <c r="D19" t="str">
        <f>_xlfn.XLOOKUP(C19,企业简介提取!B:B,企业简介提取!F:F)</f>
        <v>上海虹艺空调工程有限公司成立于2006年，公司位于上海市闵行区吴中路1268号。本公司主要从事暖通工程项目，主营品牌为格力，是上海格力空调一级代理商和格力电器指定客户服务中心。是首家被格力总部命名的上海格力空调旗舰店，上海地区唯一《格力专卖店开拓贡献奖》获得者。2022年5月又被格力总部评选为全国《卓越工程商》。公司还是上海市“守合同重信用”单位；上海市诚信创建单位，上海市闵行区文明单位，同时也是……</v>
      </c>
      <c r="E19" t="str">
        <f>INDEX(_xlfn._xlws.FILTER(报名明细!$I:$I,报名明细!$B:$B=$C19),1)</f>
        <v>暖通设计师（学历：大专 专业要求：建筑环境与能源应用工程,能源与动力工程,供热通风与空调工程技术,环境工程,建筑设备工程技术,土木工程）</v>
      </c>
      <c r="F19" t="str">
        <f>INDEX(_xlfn._xlws.FILTER(报名明细!$L:$L,报名明细!$B:$B=$C19),1)</f>
        <v>（一）岗位要求​学历与专业​本科及以上学历，建筑环境与能源应用工程、能源与动力工程（建筑环境方向）、土木工程（建筑设备方向）等相关专业。​成绩优良，核心课程（暖通空调、供热工程、通风工程、建筑节能技术等）无挂科记录。​知识与技能​掌握暖通系统设计基础理论，了解《民用建筑供暖通风与空气调节设计规范》等行业标准；​能熟练使用AutoCAD绘制暖通图纸，具备Revit、鸿业暖通等设计软件基础操作能力者优先；​了解BIM技术在暖通设计中的应用，有课程设计、毕业设计（如办公楼空调系统设计）经验者优先。​素质与能力​具备较强的逻辑思维与方案梳理能力，能清晰表达设计思路；​工作严谨细致，有责任心，具备团队协作意识；​主动学习行业新技术（如绿色建筑、智能暖通），适应项目型工作节奏。​其他​持有CAD工程师认证、BIM技能等级证书者优先；​参与过“人环奖”、高校暖通设计竞赛等赛事者优先。</v>
      </c>
      <c r="G19" t="str">
        <f>INDEX(_xlfn._xlws.FILTER(报名明细!$I:$I,报名明细!$B:$B=$C19),2)</f>
        <v>中央空调维修技术员（学历：大专 专业要求：制冷与空调技术,供热通风与空调工程技术,机电设备安装技术,建筑智能化工程技术,机电一体化技术）</v>
      </c>
      <c r="H19" t="str">
        <f>INDEX(_xlfn._xlws.FILTER(报名明细!$L:$L,报名明细!$B:$B=$C19),2)</f>
        <v>（一）岗位要求​学历与专业​大专及以上学历，供热通风与空调工程技术、机电一体化技术、建筑设备工程技术等相关专业。​知识与技能​掌握中央空调系统（水冷机组、风冷热泵、VRV多联机等）的工作原理与组成结构；​能使用万用表、钳形表等工具检测电气故障，了解制冷系统打压、抽真空、加氟等基础操作；​熟悉中央空调控制系统（如PLC、变频控制）基础原理者优先，有金工实习、设备拆装实训经验者优先。​素质与能力​动手能力强，能适应一定的现场作业（如机房巡检、设备维修）；​具备较强的问题排查能力与应急处理意识，能清晰记录维修过程；​吃苦耐劳，服从工作安排（部分项目需短途出差或轮班巡检）。​其他​持有制冷与空调作业特种作业操作证（低压电工证）者优先；​参与过高校机电设备维修竞赛、实习期间从事过中央空调运维工作者优先。</v>
      </c>
      <c r="I19" t="str">
        <f>INDEX(_xlfn._xlws.FILTER(报名明细!$I:$I,报名明细!$B:$B=$C19),3)</f>
        <v>造价工程师（学历：大专 专业要求：建筑环境与能源应用工程,工程造价,能源与动力工程,供热通风与空调工程技术,建设工程管理,建筑工程技术）</v>
      </c>
      <c r="J19" t="str">
        <f>INDEX(_xlfn._xlws.FILTER(报名明细!$L:$L,报名明细!$B:$B=$C19),3)</f>
        <v>（一）岗位要求​学历与专业​本科及以上学历，工程造价、建筑环境与能源应用工程、土木工程等相关专业。​熟悉暖通设备（空调机组、风机、散热器等）型号与市场价格者优先。​知识与技能​掌握工程造价基础理论，了解《建设工程工程量清单计价规范》，能识别暖通工程图纸；​能熟练使用广联达、鲁班等造价软件进行工程量计算与套价，有课程设计（如暖通工程预算编制）经验者优先；​了解暖通工程施工流程，能结合施工工艺分析造价组成。​素质与能力​具备较强的数据分析能力与细节把控能力，对数字敏感；​沟通表达清晰，能与设计、施工团队协同对接造价问题；​学习能力强，愿意主动了解建材市场价格波动与政策调整（如增值税率变化）。​其他​持有二级造价工程师（基础科目）合格证明者优先；​参与过高校工程造价竞赛、实习期间接触过暖通预算工作者优先</v>
      </c>
    </row>
    <row r="20" spans="1:10">
      <c r="A20" t="str">
        <f>_xlfn.XLOOKUP(C20,展区展位!A:A,展区展位!B:B)</f>
        <v>C汽车/服装/贸易</v>
      </c>
      <c r="B20" t="str">
        <f>_xlfn.XLOOKUP(C20,展区展位!A:A,展区展位!C:C)</f>
        <v>C21</v>
      </c>
      <c r="C20" t="s">
        <v>276</v>
      </c>
      <c r="D20" t="str">
        <f>_xlfn.XLOOKUP(C20,企业简介提取!B:B,企业简介提取!F:F)</f>
        <v>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v>
      </c>
      <c r="E20" t="str">
        <f>INDEX(_xlfn._xlws.FILTER(报名明细!$I:$I,报名明细!$B:$B=$C20),1)</f>
        <v>新媒体运营-偏拍摄/剪辑文案（学历：大专 专业要求：电子信息科学与技术,数字媒体技术,电子与计算机工程）</v>
      </c>
      <c r="F20" t="str">
        <f>INDEX(_xlfn._xlws.FILTER(报名明细!$L:$L,报名明细!$B:$B=$C20),1)</f>
        <v>岗位职责：1、强摄影及修图能力，负责配合小红书平台运营的摄影摄像；2、负责抖音、视频号等公司各平台的信息流短视频拍摄、剪辑、画面包装、调色、声音处理、字幕、特效合成等；3、负责新媒体平台运营及文案撰写（微博、微信、公众号、抖音等）；4、负责新媒体平台的内容选取、编辑、发布；5、负责平台粉丝招募和维护；6、负责活动内容质量和传播度；7、负责新媒体产品挖掘与运营，及时掌握同行业新媒体动向，与现公司业务相结合，进行网络营销推广，及时反馈对公司的相关信息；8、参与视频创作团队完成视频内容创意策划。对素材进行整理和分类，优化与内容策划的协作流程，提高整体输出视频效率；建立并完善新媒体资源库；9、配合制作公司各类宣传海报、酷家乐软件渲然图片等工作；10、认真完成领导交代的其他工作。任职要求：1、强摄影摄像能力；2、熟悉新媒体平台（抖音、微信、微博、微信朋友圈、公众号等）文案；3、有文字功底，阅读能力，熟悉平面设计、摄影剪辑；4、参与短视频拍摄；5、有良好的沟通能力，和团队合作精神。工作时间：做六休一，早上9:30-下午18:30；工作地点：上海市闵行区颛桥镇光华路158号（宝盖头家居）；福利待遇：……</v>
      </c>
      <c r="G20" t="str">
        <f>INDEX(_xlfn._xlws.FILTER(报名明细!$I:$I,报名明细!$B:$B=$C20),2)</f>
        <v>全屋定制销售顾问（学历：大专 专业要求：土木工程,建筑学,城市设计）</v>
      </c>
      <c r="H20" t="str">
        <f>INDEX(_xlfn._xlws.FILTER(报名明细!$L:$L,报名明细!$B:$B=$C20),2)</f>
        <v>岗位职责：1、对家装有一定了解，为客户提供全屋定制及软装搭配服务；2、熟悉全屋定制全套流程，精准捕捉客户全屋定制需求；3、为客户提供专业的一对一服务，解决客户售前产品咨询，售中对接设计师服务，售后等各类问题反馈，衔接售后部的上门服务需求；4、意向客户的定期追踪维护，定期向部门负责人进行汇报，并转化客户需求及设计服务；5、具备对接客户需求，能独立上门测量，且能现场及时有效沟通反馈；6、能够清晰把握客户方向，并讲解设计方案，能为客户提供全屋定制设计方案对接；7、对接工厂，设计师及安装团队，跟踪订单生产进度，确保按时交付，能处理安装过程中的突发问题；8、交付后定期回访，收集满意度反馈，推动复购或转介绍；9、有操作酷家乐软件能力，优先考虑；10、完成领导交代的其他工作，以及团队间的项目配合。任职要求：1、20岁以上，男女不限，展厅接待，能独立完成产品介绍；2、1年以上全屋定制硬装销售经验者优先；3、日常事务的配合：巡场、盘点、维护展厅及优化展厅；4、能独立开单，实现个人业绩增长；5、工作细心，条理清晰，有一定的的沟通、协调能力，有良好的团结协作的精神。工作时间：做六休一，早上9:30-下午18……</v>
      </c>
      <c r="I20" t="str">
        <f>INDEX(_xlfn._xlws.FILTER(报名明细!$I:$I,报名明细!$B:$B=$C20),3)</f>
        <v>软装设计师（学历：大专 专业要求：建筑设计及其理论,建筑设计,家具设计与制造）</v>
      </c>
      <c r="J20" t="str">
        <f>INDEX(_xlfn._xlws.FILTER(报名明细!$L:$L,报名明细!$B:$B=$C20),3)</f>
        <v>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搭配方案，跟进及协调客户订单完成；4、按照公司销售服务标准为客户提供优质服务，提升品牌形象；5、了解客户对公司产品及各环节服务评价或期望并反馈给公司及上级，为提升客户消费体验提供改进方向；6、更新公司软装方案模板，为客户提供更多优质的设计选择；7、具备良好的团队合作精神，有责任心，进取心；8、遵纪守法，有职业道德，并遵守公司各规章制度；9、完成上级下达的各项工作指令。任职要求：1、20岁以上，男女不限；艺术设计类大专以上学历；2、1年以上软装设计工作经验，具备硬装设计经验优先考虑；3、具备较好的空间感、色彩搭配能力、较高的悟性，能熟练使用autocad、Photoshop、PPT、酷家乐等设计软件优先考虑；4、熟悉各种装饰风格，具有良好的艺术修养，对软装设计行业有较强敏感度及充满极大的热情；5、工作细心，有条理，效率高，沟通、协调能力强。工作时间：做六休一，早上9:30-下午18……</v>
      </c>
    </row>
    <row r="21" spans="1:10">
      <c r="A21" t="str">
        <f>_xlfn.XLOOKUP(C21,展区展位!A:A,展区展位!B:B)</f>
        <v>E城市运营与技术服务</v>
      </c>
      <c r="B21" t="str">
        <f>_xlfn.XLOOKUP(C21,展区展位!A:A,展区展位!C:C)</f>
        <v>E03</v>
      </c>
      <c r="C21" t="s">
        <v>299</v>
      </c>
      <c r="D21" t="str">
        <f>_xlfn.XLOOKUP(C21,企业简介提取!B:B,企业简介提取!F:F)</f>
        <v>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
公司主要业务：
一、“三化”工程业务
1.智能化工程及维保，含道闸、门禁、监控、LED 显示屏、远程智能控制系统、预付……</v>
      </c>
      <c r="E21" t="str">
        <f>INDEX(_xlfn._xlws.FILTER(报名明细!$I:$I,报名明细!$B:$B=$C21),1)</f>
        <v>CAD制图员（学历：大专 专业要求：无）</v>
      </c>
      <c r="F21" t="str">
        <f>INDEX(_xlfn._xlws.FILTER(报名明细!$L:$L,报名明细!$B:$B=$C21),1)</f>
        <v>熟练使用CAD软件，主要负责弱电、电气、绿化制图。</v>
      </c>
      <c r="G21" t="str">
        <f>INDEX(_xlfn._xlws.FILTER(报名明细!$I:$I,报名明细!$B:$B=$C21),2)</f>
        <v>销售（学历：大专 专业要求：无）</v>
      </c>
      <c r="H21" t="str">
        <f>INDEX(_xlfn._xlws.FILTER(报名明细!$L:$L,报名明细!$B:$B=$C21),2)</f>
        <v>1.具有想从事销售工作的愿望2.性格外向、胆大、心细、能坚持3恪守规则</v>
      </c>
      <c r="I21" t="str">
        <f>INDEX(_xlfn._xlws.FILTER(报名明细!$I:$I,报名明细!$B:$B=$C21),3)</f>
        <v>技术员（学历：本科 专业要求：无）</v>
      </c>
      <c r="J21" t="str">
        <f>INDEX(_xlfn._xlws.FILTER(报名明细!$L:$L,报名明细!$B:$B=$C21),3)</f>
        <v>1、本科以上学历；2、楼宇智能化、机电一体化等相关专业；3、有电子智能化或弱电行业的实习经验，熟悉智能化各子系统，能安装调试者优先；4、具有较强的工作责任心，上进心，吃苦耐劳。</v>
      </c>
    </row>
    <row r="22" spans="1:10">
      <c r="A22" t="str">
        <f>_xlfn.XLOOKUP(C22,展区展位!A:A,展区展位!B:B)</f>
        <v>A机械/制造/能源</v>
      </c>
      <c r="B22" t="str">
        <f>_xlfn.XLOOKUP(C22,展区展位!A:A,展区展位!C:C)</f>
        <v>A11</v>
      </c>
      <c r="C22" t="s">
        <v>312</v>
      </c>
      <c r="D22" t="str">
        <f>_xlfn.XLOOKUP(C22,企业简介提取!B:B,企业简介提取!F:F)</f>
        <v>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
飒智智能以上海为总部，在深圳、天津等重要城市设立子公司，并构建以欧洲、东南亚、北美为支点的全球业务辐射网络，……</v>
      </c>
      <c r="E22" t="str">
        <f>INDEX(_xlfn._xlws.FILTER(报名明细!$I:$I,报名明细!$B:$B=$C22),1)</f>
        <v>大客户经理（学历：大专 专业要求：工商管理,市场营销,国际经济与贸易,国际贸易学）</v>
      </c>
      <c r="F22" t="str">
        <f>INDEX(_xlfn._xlws.FILTER(报名明细!$L:$L,报名明细!$B:$B=$C22),1)</f>
        <v>岗位职责1.协助资深销售对接头部企业客户，参与客户需求调研、方案沟通与商务谈判，快速熟悉大客户销售全流程。2.负责客户信息整理与维护，建立客户档案，跟踪客户合作进度，辅助完成订单跟进与回款协助工作。3.参与市场竞品分析与行业动态收集，输出简易分析报告，为大客户销售策略制定提供数据支持。4.完成管培生专项培养计划，包括产品知识培训、销售技巧实战演练、跨部门轮岗（任职要求1.2026届全日制本科及以上学历，专业不限，市场营销、工商管理、国际贸易等相关专业优先。2.具备强烈的目标感与抗压能力，愿意挑战高薪，对ToB大客户销售工作有明确兴趣与热情。3.拥有优秀的沟通表达与逻辑思维能力，能清晰传递信息，快速理解客户需求，有校园社团管理、大型活动组织或销售相关实习经历者优先。4.学习能力强，具备团队协作意识，能快速适应快节奏工作环境</v>
      </c>
      <c r="G22" t="str">
        <f>INDEX(_xlfn._xlws.FILTER(报名明细!$I:$I,报名明细!$B:$B=$C22),2)</f>
        <v>复合机器人一体化规划控制开发工程师（学历：硕士 专业要求：无）</v>
      </c>
      <c r="H22" t="str">
        <f>INDEX(_xlfn._xlws.FILTER(报名明细!$L:$L,报名明细!$B:$B=$C22),2)</f>
        <v>岗位职责：1、负责为复合机器人（移动底盘+机械臂）设计一体化控制算法，联合解算和控制底盘与机械臂，扩展作业空间任职资格：1、硕士以上学历，计算机科学,自动化，机械设计或相关专业2、精通c/c++开发,熟悉linux系统会python加分3、对机器人动力学，运动学，正反解等知识有深入理解，熟悉LQRMPC等相关自动控制算法4、有机械臂或轮足式，足式等复杂机器人控制相关经验者优先5、了解ROS,有机器人开发,科研或比赛经历优先.比赛如RobotMaster,RoboCup,ACM等6、无障碍英文资料阅读与沟通能力优先，能够快速查阅英文资料解决问题，快速阅读英文文档</v>
      </c>
      <c r="I22" t="str">
        <f>INDEX(_xlfn._xlws.FILTER(报名明细!$I:$I,报名明细!$B:$B=$C22),3)</f>
        <v>机器人调试工程师（学历：大专 专业要求：无）</v>
      </c>
      <c r="J22" t="str">
        <f>INDEX(_xlfn._xlws.FILTER(报名明细!$L:$L,报名明细!$B:$B=$C22),3)</f>
        <v>岗位职责：1、负责现场工业、服务机器人系统的安装集成、编程调试，优化节拍，使其能满足客户的批量生产要求；2、负责调整周边自动化系统以使整个机器人系统能顺利运行；3、机器人轨迹、精度以及节拍达到技术协议要求；4、编写项目操作说明书，以及维护说明书；5、配合机械工程师完成项目设计；前期项目设计的参与、项目生产制作的跟进参与、后期项目安装实施的操作；6、完成机器人售后维护及服务工作。任职要求：1、机电一体化、机械工程、自动控制、测控技术、电气等相关专业大专以上学历；2、熟悉plc编程和实际应用；3、具有3年及以上工作经验；4、了解各类常见的工业总线,对标准自动化设备有一定了解；5、了解市场上常用的机器人品牌，如ABB.Fanuc.KUKA.Motoman,有过机器人操作经验者优先；6、身体素质佳，能够吃苦耐劳，勤奋踏实，积极向上，并能适应加班及出差；</v>
      </c>
    </row>
    <row r="23" spans="1:10">
      <c r="A23" t="str">
        <f>_xlfn.XLOOKUP(C23,展区展位!A:A,展区展位!B:B)</f>
        <v>A机械/制造/能源</v>
      </c>
      <c r="B23" t="str">
        <f>_xlfn.XLOOKUP(C23,展区展位!A:A,展区展位!C:C)</f>
        <v>A10</v>
      </c>
      <c r="C23" t="s">
        <v>318</v>
      </c>
      <c r="D23" t="str">
        <f>_xlfn.XLOOKUP(C23,企业简介提取!B:B,企业简介提取!F:F)</f>
        <v>上海三菱电梯有限公司上海分公司（营业执照名称为：上海三菱电梯有限公司安装维修分公司，以下简称：公司）成立于 1992 年 4 月，隶属于上海三菱电梯有限公司， 专业从事上海三菱电梯有限公司和日本三菱电机株式会社制造的各型号电梯、自动扶梯产品销售、安装、维修、改造、保养、备件销售等业务，具备国家特种设备安装改造维修 A 级资质。公司坐落于上海昌化路 649 号。通过 30 多年的发展，上海三菱电梯有……</v>
      </c>
      <c r="E23" t="str">
        <f>INDEX(_xlfn._xlws.FILTER(报名明细!$I:$I,报名明细!$B:$B=$C23),1)</f>
        <v>电梯维修保养岗位（学历：大专 专业要求：无）</v>
      </c>
      <c r="F23" t="str">
        <f>INDEX(_xlfn._xlws.FILTER(报名明细!$L:$L,报名明细!$B:$B=$C23),1)</f>
        <v>工作职责：代表公司与客户处理管辖区域内的电梯保养、维修施工中出现的各种问题；及时响应客户的需求，为客户提供可靠的技术诊断与维修支持。员工发展与工作环境：实习期工资2700元，每月享受交通及话费补贴200元，并根据考核发放年终奖，转正后工资平均月薪4000-8000元/月（税前），并根据绩效情况发放月度奖金，年底根据工作表现发放全勤奖及年终奖；每年参加岗位培训及评定，增长技能工资；一经录用缴纳相关社会保险；根据技能评定及工作表现岗位上升依次为为“检查调整岗”、“项目组长”、“站长助理”、“站长”等，并承担相关职责，享受相应升级待遇。工作区域：上海市各大电梯维保站点。岗位变动：工作表现优异者，可被推荐、被选拔至高阶岗位；也可转电梯安装岗（个别申请）。</v>
      </c>
      <c r="G23" t="str">
        <f>INDEX(_xlfn._xlws.FILTER(报名明细!$I:$I,报名明细!$B:$B=$C23),2)</f>
        <v>维保管理内勤（学历：大专 专业要求：无）</v>
      </c>
      <c r="H23" t="str">
        <f>INDEX(_xlfn._xlws.FILTER(报名明细!$L:$L,报名明细!$B:$B=$C23),2)</f>
        <v>职位描述：1、协助销售经理整理客户资料、确认签收等；2、协助销售经理制作标书、合同等；3、合同整理、各类数据统计等；4、相关协议、合同扫描存档工作等。任职资格：1、大专以上学历，能熟练使用办公软件；2、一年以上工作经验，有相关工作经验优先考虑；3、良好的人际交往及团队协作能力；</v>
      </c>
      <c r="I23" t="str">
        <f>INDEX(_xlfn._xlws.FILTER(报名明细!$I:$I,报名明细!$B:$B=$C23),3)</f>
        <v>维保管培生（学历：本科 专业要求：机电一体化技术）</v>
      </c>
      <c r="J23" t="str">
        <f>INDEX(_xlfn._xlws.FILTER(报名明细!$L:$L,报名明细!$B:$B=$C23),3)</f>
        <v>1、全日制本科及本科以上学历应届毕业生，优秀的2020年毕业生亦可；2、有意向在电梯行业发展，公司提供专业的电梯知识、技能培训，明确的个人职业发展规划；3、可发展成维保站长、维保经理等，3年内成为公司骨干，作为公司的储备管理人才。4、吃苦耐劳，意志坚定，愿意服从安排到一线岗位历练；5、目标明确，富有工作热情与激情，善于学习；</v>
      </c>
    </row>
    <row r="24" spans="1:10">
      <c r="A24" t="str">
        <f>_xlfn.XLOOKUP(C24,展区展位!A:A,展区展位!B:B)</f>
        <v>C汽车/服装/贸易</v>
      </c>
      <c r="B24" t="str">
        <f>_xlfn.XLOOKUP(C24,展区展位!A:A,展区展位!C:C)</f>
        <v>C10</v>
      </c>
      <c r="C24" t="s">
        <v>323</v>
      </c>
      <c r="D24" t="str">
        <f>_xlfn.XLOOKUP(C24,企业简介提取!B:B,企业简介提取!F:F)</f>
        <v>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v>
      </c>
      <c r="E24" t="str">
        <f>INDEX(_xlfn._xlws.FILTER(报名明细!$I:$I,报名明细!$B:$B=$C24),1)</f>
        <v>市场助理（学历：大专 专业要求：无）</v>
      </c>
      <c r="F24" t="str">
        <f>INDEX(_xlfn._xlws.FILTER(报名明细!$L:$L,报名明细!$B:$B=$C24),1)</f>
        <v>1.负责前台客流登记2.负责配合完成各项市场营销策划活动3.负责开发针对经销商与客户的季节性或主题性推广活动4.领导交代的其他工作</v>
      </c>
      <c r="G24" t="str">
        <f>INDEX(_xlfn._xlws.FILTER(报名明细!$I:$I,报名明细!$B:$B=$C24),2)</f>
        <v>销售助理（学历：大专 专业要求：无）</v>
      </c>
      <c r="H24" t="str">
        <f>INDEX(_xlfn._xlws.FILTER(报名明细!$L:$L,报名明细!$B:$B=$C24),2)</f>
        <v>工作内容及职责：1、根据厂方及公司的销售任务，负责汇总及统计相关销售数据2、对客户的订单进行汇总、整理、录入工作，并及时检查订单是否完整和准确3、定期将客户的市场反馈信息上报有关部门4、协助部门领导完成各类报表2026年应届毕业生，大专以上学历，文秘、电子商务或市场营销相关专业</v>
      </c>
      <c r="I24" t="str">
        <f>INDEX(_xlfn._xlws.FILTER(报名明细!$I:$I,报名明细!$B:$B=$C24),3)</f>
        <v>销售/二手车实习生（学历：大专 专业要求：无）</v>
      </c>
      <c r="J24" t="str">
        <f>INDEX(_xlfn._xlws.FILTER(报名明细!$L:$L,报名明细!$B:$B=$C24),3)</f>
        <v>协助部门办理车辆销售的相关手续；积极上报并解决售车过程中出现的问题；熟悉市场营销知识，愿意在汽车销售领域长期发展；客户服务意识强；亲和力强，有较好的公关能力；全日制大专及以上学历2026届毕业生；认真负责、吃苦耐劳，能承受工作压力。根据学历月实习津贴2400-3000不等。</v>
      </c>
    </row>
    <row r="25" spans="1:10">
      <c r="A25" t="str">
        <f>_xlfn.XLOOKUP(C25,展区展位!A:A,展区展位!B:B)</f>
        <v>C汽车/服装/贸易</v>
      </c>
      <c r="B25" t="str">
        <f>_xlfn.XLOOKUP(C25,展区展位!A:A,展区展位!C:C)</f>
        <v>C08</v>
      </c>
      <c r="C25" t="s">
        <v>327</v>
      </c>
      <c r="D25" t="str">
        <f>_xlfn.XLOOKUP(C25,企业简介提取!B:B,企业简介提取!F:F)</f>
        <v>卡倍亿是一家汽车线缆产品专业制造商，始创于1986年8月，具有39年汽车线缆研发、生产、销售、服务的历史，公司注册地为浙江省宁波市宁海县，管理中心设立在上海市闵行区，目前在宁波、成都、本溪、上海、惠州、麻城、北美墨西哥7地设有生产基地，员工1000多人。2020年8月卡倍亿在深交所挂牌上市，股票代码300863，成为中国国内唯一一家汽车线缆A股上市公司，被誉为“中国汽车线缆第一股” 。
公司作为汽……</v>
      </c>
      <c r="E25" t="str">
        <f>INDEX(_xlfn._xlws.FILTER(报名明细!$I:$I,报名明细!$B:$B=$C25),1)</f>
        <v>交付类管培生（学历：大专 专业要求：电线电缆制造技术,机械设计制造及其自动化,数学,统计学）</v>
      </c>
      <c r="F25" t="str">
        <f>INDEX(_xlfn._xlws.FILTER(报名明细!$L:$L,报名明细!$B:$B=$C25),1)</f>
        <v>该岗位未来方向为生产岗、研发岗、交付岗等，电线电缆、电子电气、机械工程及自动化、数学、统计学等专业优先，要求每周至少3天全天出勤任职资格：1、统招大学专科以上学历，电线电缆、电子电气、机械工程及自动化、数学、统计学等专业优先；2、有上进心，学习意愿较强，愿意从基础开始学起，能吃苦耐劳；3、学习成绩优异，专业排名靠前；4、熟悉常用办公软件。</v>
      </c>
      <c r="G25" t="str">
        <f>INDEX(_xlfn._xlws.FILTER(报名明细!$I:$I,报名明细!$B:$B=$C25),2)</f>
        <v>技术管培生（学历：本科 专业要求：电线电缆制造技术,电气工程及其自动化,机械工程）</v>
      </c>
      <c r="H25" t="str">
        <f>INDEX(_xlfn._xlws.FILTER(报名明细!$L:$L,报名明细!$B:$B=$C25),2)</f>
        <v>该岗位未来方向可分为研发岗、工艺岗等，电线电缆，高分子材料，计算机等专业优先，要求每周至少3天全天出勤。任职资格：1、统招大学专科以上学历，电线电缆或高分子材料相关专业毕业优先；2、有上进心，学习意愿较强，愿意从基础开始学起，能吃苦耐劳；3、学习成绩优异，专业排名靠前；4、熟悉常用办公软件。</v>
      </c>
      <c r="I25" t="str">
        <f>INDEX(_xlfn._xlws.FILTER(报名明细!$I:$I,报名明细!$B:$B=$C25),3)</f>
        <v>营销管培生（学历：本科 专业要求：日语,商务日语,应用日语,英语,商务英语,应用英语）</v>
      </c>
      <c r="J25" t="str">
        <f>INDEX(_xlfn._xlws.FILTER(报名明细!$L:$L,报名明细!$B:$B=$C25),3)</f>
        <v>该岗位未来方向为外销岗位(日语，英语），要求市场营销，英语或者日语等相关专业，每周要求至少3天全天出勤任职资格：1、统招专科以上学历，市场营销、英语或者日语等专业毕业；2、性格外向，具有较强的沟通能力和语言表达能力，应变能力和谈判能力；3、（英语）或（日语）流利加分；会开车（开车熟练）；4、有汽车零配件行业销售经验加分；5、有上进心，学习意愿较强，愿意从基础开始学起，能吃苦耐劳；6、学习成绩优异，专业排名靠前；7、熟悉常用办公软件。</v>
      </c>
    </row>
    <row r="26" spans="1:10">
      <c r="A26" t="str">
        <f>_xlfn.XLOOKUP(C26,展区展位!A:A,展区展位!B:B)</f>
        <v>C汽车/服装/贸易</v>
      </c>
      <c r="B26" t="str">
        <f>_xlfn.XLOOKUP(C26,展区展位!A:A,展区展位!C:C)</f>
        <v>C11</v>
      </c>
      <c r="C26" t="s">
        <v>381</v>
      </c>
      <c r="D26" t="str">
        <f>_xlfn.XLOOKUP(C26,企业简介提取!B:B,企业简介提取!F:F)</f>
        <v>集团简介
永达集团成立于1992年，是一家在香港主板上市的大型集团企业（股票代码：HK03669），永达凭借专业的服务能力、强大的企业实力和优良的企业形象，得到了社会各界和行业专家的广泛认可，先后荣获了“中国企业500强”、“中国汽车销售服务十大企业集团”、“全国守合同重信用企业”、“全国文明单位”、“上海市文明单位”、“上海市著名商标”等荣誉称号。
我们主要经营汽车销售服务、二手车、汽车金融、汽……</v>
      </c>
      <c r="E26" t="str">
        <f>INDEX(_xlfn._xlws.FILTER(报名明细!$I:$I,报名明细!$B:$B=$C26),1)</f>
        <v>财务实习生（学历：大专 专业要求：无）</v>
      </c>
      <c r="F26" t="str">
        <f>INDEX(_xlfn._xlws.FILTER(报名明细!$L:$L,报名明细!$B:$B=$C26),1)</f>
        <v>[岗位职责]1、协助门店财务部门完成日常财务工作，如整理票据、会计凭证和财务资料等；2、协助部门同事完成维修工单的开票结算和新车整车的开票与开具出门单；3、根据业务发展需要，完成指定的其他工作。[任职资格]1、大专及以上学历，财会相关专业者优先；2、工作积极主动，细心，有责任心，执行能力强；3、善于思考，有较强的解决问题能力和抗压能力；4、有较强的沟通能力、学习能力和专注力。</v>
      </c>
      <c r="G26" t="str">
        <f>INDEX(_xlfn._xlws.FILTER(报名明细!$I:$I,报名明细!$B:$B=$C26),2)</f>
        <v>服务顾问实习生（学历：大专 专业要求：无）</v>
      </c>
      <c r="H26" t="str">
        <f>INDEX(_xlfn._xlws.FILTER(报名明细!$L:$L,报名明细!$B:$B=$C26),2)</f>
        <v>[岗位职责]1.热情引导接待用户，沟通确认用户需求，根据需求给出专业的服务方案；2.熟悉车辆功能及使用，深刻理解公司服务理念，为用户提供专业的解答；3.跟踪车辆整体维修情况，确保维修时效质量、完工交付标准及维修服务体验；4.维护用户关系，保证每位用户都能得到专业且有温度的售后服务。[任职资格]1.大专或以上学历，汽车相关专业优先；2.做事认真仔细，责任心强，对待工作积极主动；3.具有良好的服务意识、营销意识和沟通协调能力；4.持有驾驶证并熟练驾驶汽车者优先。</v>
      </c>
      <c r="I26" t="str">
        <f>INDEX(_xlfn._xlws.FILTER(报名明细!$I:$I,报名明细!$B:$B=$C26),3)</f>
        <v>售后技术实习生（学历：大专 专业要求：无）</v>
      </c>
      <c r="J26" t="str">
        <f>INDEX(_xlfn._xlws.FILTER(报名明细!$L:$L,报名明细!$B:$B=$C26),3)</f>
        <v>[岗位职责]1.为用户提供规范、专业的新能源汽车保养、维修、装潢等售后服务；2.接受永达新能源所代理的品牌产品的专业知识与技术培训，完成各阶段成长任务；3.根据产品维修手册，规范使用工具设备，有效准确地进行车辆维修，并记录维修工单；4.熟练掌握车间的专用工具和诊断设备，定期对工具设备进行检查调整、保养或维修；5.在车间主管的带领下，认真执行车间5S，并与各分工部门保持紧密的合作与沟通。[任职资格]1.大专或以上学历，汽车相关专业；2.做事认真仔细，责任心强，对待工作积极主动；3.具备一定汽修知识以及相关证书；4.持有驾驶证并熟练驾驶汽车者优先。</v>
      </c>
    </row>
    <row r="27" spans="1:10">
      <c r="A27" t="str">
        <f>_xlfn.XLOOKUP(C27,展区展位!A:A,展区展位!B:B)</f>
        <v>B互联网/电子/通信</v>
      </c>
      <c r="B27" t="str">
        <f>_xlfn.XLOOKUP(C27,展区展位!A:A,展区展位!C:C)</f>
        <v>B15</v>
      </c>
      <c r="C27" t="s">
        <v>398</v>
      </c>
      <c r="D27" t="str">
        <f>_xlfn.XLOOKUP(C27,企业简介提取!B:B,企业简介提取!F:F)</f>
        <v>木圣科技是一家从事3D虚拟现实的高新科技企业。主要是以3D制作，VR（虚拟现实），AR（增强现实）开发为核心业务。致力于国内外各个行业的虚拟现时内容定制服务和解决方案。</v>
      </c>
      <c r="E27" t="str">
        <f>INDEX(_xlfn._xlws.FILTER(报名明细!$I:$I,报名明细!$B:$B=$C27),1)</f>
        <v>项目经理助理（学历：大专 专业要求：项目管理）</v>
      </c>
      <c r="F27" t="str">
        <f>INDEX(_xlfn._xlws.FILTER(报名明细!$L:$L,报名明细!$B:$B=$C27),1)</f>
        <v>1、协助项目经理一起确认项目开发范围，协助项目经理撰写相关软件项目文档；2、协助项目经理确保项目进程与质量，并将项目阶段性成果反馈给相关项目干系人；3、项目内部协调，了解项目管理进度、项目风险等工作；4、领导安排的其他工作；任职资格：1、吃苦耐劳，责任心强，抗压能力强；2、良好的协调、沟通能力，强烈的团队意识和协作精神，主动性和执行力强；3、学习能力强，细心认真，有一定的分析和总结能力；4、熟练使用办公软件，如Excel、Word等；5、计算机专业、软件工程相关专业优先考虑；</v>
      </c>
      <c r="G27" t="str">
        <f>INDEX(_xlfn._xlws.FILTER(报名明细!$I:$I,报名明细!$B:$B=$C27),2)</f>
        <v>Unity开发工程师（学历：大专 专业要求：智能制造工程,计算机科学与技术,工业机器人技术）</v>
      </c>
      <c r="H27" t="str">
        <f>INDEX(_xlfn._xlws.FILTER(报名明细!$L:$L,报名明细!$B:$B=$C27),2)</f>
        <v>1、大三或大四在读学生，软件工程、计算机技术相关专业；2、熟悉Unity引擎，有用Unity自行开发过小型项目者加分；3、会使用C#语言，有良好的面向对象编程习惯；4、对设计模式有一定了解，熟悉UGUI/NGUI加分；5、有学习热情、良好的职业规划；</v>
      </c>
      <c r="I27" t="str">
        <f>INDEX(_xlfn._xlws.FILTER(报名明细!$I:$I,报名明细!$B:$B=$C27),3)</f>
        <v>3D建模师（学历：大专 专业要求：文化创意与策划,智能工程与创意设计）</v>
      </c>
      <c r="J27" t="str">
        <f>INDEX(_xlfn._xlws.FILTER(报名明细!$L:$L,报名明细!$B:$B=$C27),3)</f>
        <v>1.对VR有浓厚兴趣2.美术或艺术类相关专业，大三或者大四在校生；3.对PSMaya3DMax其中的软件有了解，能够独立完成道具建模工作；4.良好的职业道德和文化素养，踏实肯干，能够承受一定的压力；</v>
      </c>
    </row>
    <row r="28" spans="1:10">
      <c r="A28" t="str">
        <f>_xlfn.XLOOKUP(C28,展区展位!A:A,展区展位!B:B)</f>
        <v>A机械/制造/能源</v>
      </c>
      <c r="B28" t="str">
        <f>_xlfn.XLOOKUP(C28,展区展位!A:A,展区展位!C:C)</f>
        <v>A24</v>
      </c>
      <c r="C28" t="s">
        <v>422</v>
      </c>
      <c r="D28" t="str">
        <f>_xlfn.XLOOKUP(C28,企业简介提取!B:B,企业简介提取!F:F)</f>
        <v>        上海星微源科技有限公司是一家民营高技术公司，从事高端应用领域（航空、航天、医疗、高端仪器）用高可靠电源、物理电子器部件及其系统集成的技术研发，相关技术基础国内领先。
        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v>
      </c>
      <c r="E28" t="str">
        <f>INDEX(_xlfn._xlws.FILTER(报名明细!$I:$I,报名明细!$B:$B=$C28),1)</f>
        <v>电源研发岗（学历：硕士 专业要求：机械电子工程,电气工程及其自动化,电子信息工程,电力电子与电力传动,电子电路设计与工艺,电子与信息,新一代电子信息技术(含量子技术等)）</v>
      </c>
      <c r="F28" t="str">
        <f>INDEX(_xlfn._xlws.FILTER(报名明细!$L:$L,报名明细!$B:$B=$C28),1)</f>
        <v>详细岗位职责(符合下列任一要求即可应聘)1，负责开关电源、射频电源开发设计、调试和验证等工作，包括电路设计、器件选型、电路仿真、技术资料编制等；2，负责磁性元件的设计选型及性能改善；3，从事DC/DC或AC/DC模块电源产品的硬件电路设计、售前、售后技术支持等工作。任职资格理论知识1，电力电子技术2，功率射频技术3，电源拓扑理论知识4，模拟电路5，数字电路6，自动控制原理专业技能1，熟悉常见开关电源拓扑，包括Buck，Boost,反激等。2，熟悉模拟电路设计，包括LDO、运算放大器；3，熟悉AltiumDesigner、Cadence等一种或多种设计软件；4，熟悉PSIM、Simplis/Saber、Matlab等一种或多种电力电子仿真软件；5，能够熟练使用示波器、信号发生器等仪器仪表，具备实际的硬件电路分析、调试等操作经验。6，具有MCU、DSP等微控制器开发电源经历者优先。素质要求分析解决问题能力，严谨性，逻辑能力，目标意识，抗压能力</v>
      </c>
      <c r="G28" t="str">
        <f>INDEX(_xlfn._xlws.FILTER(报名明细!$I:$I,报名明细!$B:$B=$C28),2)</f>
        <v>电子综合岗（学历：本科 专业要求：机械电子工程,电子信息工程,航空电子电气技术,电子信息工程技术,应用电子技术）</v>
      </c>
      <c r="H28" t="str">
        <f>INDEX(_xlfn._xlws.FILTER(报名明细!$L:$L,报名明细!$B:$B=$C28),2)</f>
        <v>详细岗位职责(符合下列任一要求即可应聘)1）开关电源及线性电路设计；（设计岗，本科及以上）2）嵌入式开发；（设计岗，本科及以上）3）真空物理电子学器件研发；（设计岗，本科及以上）3）结构设计；（设计岗，本科及以上）4）电子装联电子产品调试、测试（含微组装）；（工艺师岗，本科及以上）5）电子产品调试、测试、环境试验。（操作岗，大专以上）任职资格理论知识1）模电、数电（FPGA、DSP，VHDL、C编程）、开关电源；2）嵌入式开发（C编程）；3）物理电子学、微波电子学4）热、力有限元仿真；5）机械制图；6）电子装联工艺。专业技能1）模电、功率电路设计、仿真；2）VHDL编程、单片机编程；3）ADS、HFSS等软件应用；4）电子光学、注波互作用软件应用；5）机械设计(Pro/E、Ug、Solidworks、AutoCAD等机械设计软件)与装配；6）热、力、电磁学有限元仿真；7）电子装联工艺实操，产品调试、试验实操。素质要求分析解决问题能力，严谨性，逻辑能力，目标意识，抗压能力</v>
      </c>
      <c r="I28" t="str">
        <f>INDEX(_xlfn._xlws.FILTER(报名明细!$I:$I,报名明细!$B:$B=$C28),3)</f>
        <v>人事行政助理（学历：大专 专业要求：企业管理（含：财务管理、市场营销、人力资源管理））</v>
      </c>
      <c r="J28" t="str">
        <f>INDEX(_xlfn._xlws.FILTER(报名明细!$L:$L,报名明细!$B:$B=$C28),3)</f>
        <v>工作职责：1，统计每日考勤情况，并且确认缺勤员工信息2，行政物品采购，报销及供应商对接3，协助招聘工作4，合同档案管理5，员工花名册更新任职资格：1，大专及以上学历，接受在校应届生2，细心，有恒心，愿意在人事行政板块深入发展（有专业的导师帮助设计IDP个人成长计划）未来培养方向为HRBP</v>
      </c>
    </row>
    <row r="29" spans="1:10">
      <c r="A29" t="str">
        <f>_xlfn.XLOOKUP(C29,展区展位!A:A,展区展位!B:B)</f>
        <v>A机械/制造/能源</v>
      </c>
      <c r="B29" t="str">
        <f>_xlfn.XLOOKUP(C29,展区展位!A:A,展区展位!C:C)</f>
        <v>A09</v>
      </c>
      <c r="C29" t="s">
        <v>441</v>
      </c>
      <c r="D29" t="str">
        <f>_xlfn.XLOOKUP(C29,企业简介提取!B:B,企业简介提取!F:F)</f>
        <v>公司深耕中小尺寸显示领域，目前具备LTPS、On-cell/In-cell、OGS、AMOLED、3D显示、透明显示等先进技术能力，拥有STN-LCD、CSTN-LCD、TFT-LCD、LTPS-LCD、AMOLED及CF生产线及模块工厂。营销网络遍布全球，产品广泛应用于移动电话、平板电脑、车载显示、仪器仪表、家用电器等领域。在技术水平、产品质量、产品档次及市场占有率等方面均居国际同行业前列，为中……</v>
      </c>
      <c r="E29" t="str">
        <f>INDEX(_xlfn._xlws.FILTER(报名明细!$I:$I,报名明细!$B:$B=$C29),1)</f>
        <v>储备技术员（学历：大专 专业要求：机械设计制造类,电子信息类）</v>
      </c>
      <c r="F29" t="str">
        <f>INDEX(_xlfn._xlws.FILTER(报名明细!$L:$L,报名明细!$B:$B=$C29),1)</f>
        <v>电子设计电子信息、电子科学与技术、信息与通信工程、物理、光学等　阵列设计电子信息、材料、物理、自动化、微电子电路设计物理、电子信息、材料、自动化、微电子结构设计机械、自动化、力学、材料、仪器、航空航天等理工类　光学设计材料、化学、光学、物理、电子信息、微电子等　传感器工艺(1550)工艺技术岗自动化、材料、化学、机械、仪器、力学等理工类CIM岗计算机、信息管理、自动化、电子信息等制造支持岗计算机、机械、自动化、电子信息、工业工程等　　设备岗自动化、机械、材料、仪器、电气等理工类质量岗材料、化学、仪器、光电、机械等理工类　厂务岗化学、环境、电气、机械、能源与动力等环安岗安全工程、化工、消防、电气、机械等理工类　　　</v>
      </c>
      <c r="G29" t="str">
        <f>INDEX(_xlfn._xlws.FILTER(报名明细!$I:$I,报名明细!$B:$B=$C29),2)</f>
        <v>工艺工程师（学历：本科 专业要求：无）</v>
      </c>
      <c r="H29" t="str">
        <f>INDEX(_xlfn._xlws.FILTER(报名明细!$L:$L,报名明细!$B:$B=$C29),2)</f>
        <v>类别岗位名称相关专业学历招聘区域厦门上海浦东上海浦西武汉G6武汉G4.5深圳成都研发(650)电子设计电子信息、电子科学与技术、信息与通信工程、物理、光学等本科/硕士/博士√√√√√√　阵列设计电子信息、材料、物理、自动化、微电子本科/硕士/博士√√√√电路设计物理、电子信息、材料、自动化、微电子本科/硕士/博士√√√√结构设计机械、自动化、力学、材料、仪器、航空航天等理工类本科/硕士/博士√√√√√√　光学设计材料、化学、光学、物理、电子信息、微电子等本科/硕士/博士√√√√√√　传感器开发岗电子科学与技术、微电子、物理学、电子信息（集成电路设计与集成系统/柔性电子学等）硕士　√　　　　　材料开发岗材料、光学、物理、显示器件、高分子、有机化学等相关专业本科/硕士/博士√√√器件开发岗物理、材料科学、光学、微电子、电子科学与技术等相关专业本科/硕士/博士√√√项目管理物理、电子、机械、材料、化学、自动化、管理类、语言类本科/硕士√√√√√√　工艺(1550)工艺技术岗自动化、材料、化学、机械、仪器、力学等理工类本科/硕士√√√√√√√CIM岗计算机、信息管理、自动化、电子信息等本科/硕……</v>
      </c>
      <c r="I29" t="str">
        <f>INDEX(_xlfn._xlws.FILTER(报名明细!$I:$I,报名明细!$B:$B=$C29),3)</f>
        <v>工艺工程师（学历：本科 专业要求：无）</v>
      </c>
      <c r="J29" t="str">
        <f>INDEX(_xlfn._xlws.FILTER(报名明细!$L:$L,报名明细!$B:$B=$C29),3)</f>
        <v>自动化、材料、化学、机械、计算机、信息管理、自动化、电子信息等计算机、机械、自动化、电子信息、工业工程等自动化、机械、材料、仪器、电气等理工类材料、化学、仪器、光电、机械等理工类本科环安岗安全工程、化工、消防、电气、机械等理工类</v>
      </c>
    </row>
    <row r="30" spans="1:10">
      <c r="A30" t="str">
        <f>_xlfn.XLOOKUP(C30,展区展位!A:A,展区展位!B:B)</f>
        <v>E城市运营与技术服务</v>
      </c>
      <c r="B30" t="str">
        <f>_xlfn.XLOOKUP(C30,展区展位!A:A,展区展位!C:C)</f>
        <v>E05</v>
      </c>
      <c r="C30" t="s">
        <v>446</v>
      </c>
      <c r="D30" t="str">
        <f>_xlfn.XLOOKUP(C30,企业简介提取!B:B,企业简介提取!F:F)</f>
        <v>       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v>
      </c>
      <c r="E30" t="str">
        <f>INDEX(_xlfn._xlws.FILTER(报名明细!$I:$I,报名明细!$B:$B=$C30),1)</f>
        <v>采购部实习生（2026届）（学历：大专 专业要求：无）</v>
      </c>
      <c r="F30" t="str">
        <f>INDEX(_xlfn._xlws.FILTER(报名明细!$L:$L,报名明细!$B:$B=$C30),1)</f>
        <v>1.采购合同归档，供应商资料建档；2.采购系统内各项基本档案的建立，系统内门店订单的处理；3.订货数据的核对，订货单据的审核、保管、归档；4.货品及规格、价格、有效期等的录入，不定期维护和修正；5.日常对账，建立供应商往来明细，确保账实相符；6.对盘点数据进行跟进、核对，及时、准确维护库存管理系统；7.协助参与重要采购业务的的谈判，采购合同的起草，审核及签订工作;8.协助采购经理完成采购流程的建立与完善，采购方针，策略的制定等;9、公司交办的其他任务。</v>
      </c>
      <c r="G30" t="str">
        <f>INDEX(_xlfn._xlws.FILTER(报名明细!$I:$I,报名明细!$B:$B=$C30),2)</f>
        <v>运营部实习生（2026届）（学历：本科 专业要求：无）</v>
      </c>
      <c r="H30" t="str">
        <f>INDEX(_xlfn._xlws.FILTER(报名明细!$L:$L,报名明细!$B:$B=$C30),2)</f>
        <v>1、参加项目运营会议，协助整理、编写会议纪要；2、配合联系指定物业管理项目，密切关注项目管理动态；3、协助汇总、收集项目管理阶段性报表，形成总结报告；4、协助跟进项目管理督办事项，反馈督办进度给部门负责人；5、协助整理、归档物业项目管理资料，如图纸、合同、补充协议、预算等；6、协助完善物业管理管理资料，编制各类图表；央企总部招聘，要求2025届应届生；配备专门的带教老师，负责岗位工作教学引导；享受固定实习津贴，毕业后根据实习情况择优录用转正。</v>
      </c>
      <c r="I30" t="str">
        <f>INDEX(_xlfn._xlws.FILTER(报名明细!$I:$I,报名明细!$B:$B=$C30),3)</f>
        <v>工程技术实习生（2026届）（学历：大专 专业要求：无）</v>
      </c>
      <c r="J30" t="str">
        <f>INDEX(_xlfn._xlws.FILTER(报名明细!$L:$L,报名明细!$B:$B=$C30),3)</f>
        <v>1、协助对相关设施设备进行巡视检查；2、学习有序操作相关设施设备，确保设施设备正常运行；3、发现设施设备故障，协助及时维修或联系维保单位上门修理；4、协助督促维保单位对设施设备进行例行保养；5、在上级领导的指挥下，参与完成例行演练；6、学习填写设施设备管理日志或作业日志；7、发生紧急情况，学会及时响应、及时处置解决；央企总部招聘，要求2026届应届生；配备专门的带教老师，负责岗位工作教学引导；享受固定实习津贴，毕业后根据实习情况择优录用转正。</v>
      </c>
    </row>
    <row r="31" spans="1:10">
      <c r="A31" t="str">
        <f>_xlfn.XLOOKUP(C31,展区展位!A:A,展区展位!B:B)</f>
        <v>A机械/制造/能源</v>
      </c>
      <c r="B31" t="str">
        <f>_xlfn.XLOOKUP(C31,展区展位!A:A,展区展位!C:C)</f>
        <v>A08</v>
      </c>
      <c r="C31" t="s">
        <v>450</v>
      </c>
      <c r="D31" t="str">
        <f>_xlfn.XLOOKUP(C31,企业简介提取!B:B,企业简介提取!F:F)</f>
        <v>上海航天设备制造总厂有限公司，是我国唯一集运载火箭、空间飞行器和战术武器系统地面装备制造、总装测试和发射场服务于一体的国有综合型航天企业。企业前身新民机器厂，由著名爱国民族工商企业家、原全国人大常委会副委员长胡厥文先生于1921年创办。
企业承担“弹、箭、星、船、器”共30多个型号产品的研制生产任务，为我国航天事业的发展做出了卓越贡献，获得了全国五一劳动奖状、中国载人航天工程突出贡献集体、载人航天……</v>
      </c>
      <c r="E31" t="str">
        <f>INDEX(_xlfn._xlws.FILTER(报名明细!$I:$I,报名明细!$B:$B=$C31),1)</f>
        <v>阀门装配试验工（学历：大专 专业要求：无）</v>
      </c>
      <c r="F31" t="str">
        <f>INDEX(_xlfn._xlws.FILTER(报名明细!$L:$L,报名明细!$B:$B=$C31),1)</f>
        <v>任职要求：机械或机电一体化专业，大专学历，高级工等级，具有较好的理论基础和扎实的技能水平，有扎实的钳工基本功，认真严谨仔细，能适应出差，从事航天阀门或导管、总体装配试验工作。</v>
      </c>
      <c r="G31" t="str">
        <f>INDEX(_xlfn._xlws.FILTER(报名明细!$I:$I,报名明细!$B:$B=$C31),2)</f>
        <v>无线电装调工（学历：大专 专业要求：无）</v>
      </c>
      <c r="H31" t="str">
        <f>INDEX(_xlfn._xlws.FILTER(报名明细!$L:$L,报名明细!$B:$B=$C31),2)</f>
        <v>任职要求：电子、电气类专业，大专及以上学历，高级工等级，具有较好的理论基础和扎实的技能水平，工作仔细，能适应加班、出差，吃苦耐劳，从事航天产品的电子装联调试工作。</v>
      </c>
      <c r="I31" t="str">
        <f>INDEX(_xlfn._xlws.FILTER(报名明细!$I:$I,报名明细!$B:$B=$C31),3)</f>
        <v>机电总体设计师（学历：博士 专业要求：无）</v>
      </c>
      <c r="J31" t="str">
        <f>INDEX(_xlfn._xlws.FILTER(报名明细!$L:$L,报名明细!$B:$B=$C31),3)</f>
        <v>岗位职责：1、负责机电装备的总体设计2、负责开展相关专业领域科研项目研究任职资格：1、机械电子工程、电气工程等相关专业；2、具有机电类项目工程经验，或者担任重大专项负责人，研究方向为重大装备系统或者非标机器人系统控制者优先。3、具有独立负责开展新产品/项目开发的能力。</v>
      </c>
    </row>
    <row r="32" spans="1:10">
      <c r="A32" t="str">
        <f>_xlfn.XLOOKUP(C32,展区展位!A:A,展区展位!B:B)</f>
        <v>A机械/制造/能源</v>
      </c>
      <c r="B32" t="str">
        <f>_xlfn.XLOOKUP(C32,展区展位!A:A,展区展位!C:C)</f>
        <v>A19</v>
      </c>
      <c r="C32" t="s">
        <v>455</v>
      </c>
      <c r="D32" t="str">
        <f>_xlfn.XLOOKUP(C32,企业简介提取!B:B,企业简介提取!F:F)</f>
        <v>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v>
      </c>
      <c r="E32" t="str">
        <f>INDEX(_xlfn._xlws.FILTER(报名明细!$I:$I,报名明细!$B:$B=$C32),1)</f>
        <v>电商客服（学历：大专 专业要求：无）</v>
      </c>
      <c r="F32" t="str">
        <f>INDEX(_xlfn._xlws.FILTER(报名明细!$L:$L,报名明细!$B:$B=$C32),1)</f>
        <v>岗位职责：1．负责公司电商平台店铺的在线客服接待，提供及时、专业的售前与售后服务；2．准确理解客户需求和产品信息，确保回复内容清晰、无误，避免因信息传达错误导致的客户流失或投诉；3．日常收集整理客户反馈，包括登记客户问答、邀请客户评价、了解退换货原因，并处理客户投诉及安抚工作；4．与运营、技术、仓储、售后等人员保持顺畅沟通，及时传达活动安排，库存变化、产品更新等相关信息；5．尝试从对话中发现客户的真实需求或困惑，并将有价值的反馈传递给产品或运营团队；6.负责售后货物的信息核对、收货登记及入库相关流程，并定期汇总售后货物的情况；7.参与客户体验优化相关工作，如服务流程规范，客服话术更新、服务满意度提升等。岗位要求：1．2026届毕业生，大专及以上学历，专业不限；2．具备良好的沟通能力和团队合作意识；3.工作认真负责，有较强的学习能力和责任心；4．熟练使用办公软件：打字速度60字/分钟，熟悉办公软件及网络工具。</v>
      </c>
      <c r="G32" t="str">
        <f>INDEX(_xlfn._xlws.FILTER(报名明细!$I:$I,报名明细!$B:$B=$C32),2)</f>
        <v>外贸专员（学历：本科 专业要求：无）</v>
      </c>
      <c r="H32" t="str">
        <f>INDEX(_xlfn._xlws.FILTER(报名明细!$L:$L,报名明细!$B:$B=$C32),2)</f>
        <v>英语或者国贸相关专业、英语良好、有志于从事外贸行业，不管你有没有经验，都可以加入大洋外贸团队。我们有完整的培训体系可以助你快速成长。</v>
      </c>
      <c r="I32" t="str">
        <f>INDEX(_xlfn._xlws.FILTER(报名明细!$I:$I,报名明细!$B:$B=$C32),3)</f>
        <v>技术研发类（学历：本科 专业要求：无）</v>
      </c>
      <c r="J32" t="str">
        <f>INDEX(_xlfn._xlws.FILTER(报名明细!$L:$L,报名明细!$B:$B=$C32),3)</f>
        <v>培养方向：结构工程师、电子工程师、电机工程师岗位要求：①2026届毕业生，本科及以上学历；②机电类相关专业，熟悉AUTOCAD、PRO-E等制图软件，有较强的独立组织能力；③耐心沉着，上进心强，有市场洞察力和创新精神。</v>
      </c>
    </row>
    <row r="33" spans="1:10">
      <c r="A33" t="str">
        <f>_xlfn.XLOOKUP(C33,展区展位!A:A,展区展位!B:B)</f>
        <v>D教育/传媒/电竞</v>
      </c>
      <c r="B33" t="str">
        <f>_xlfn.XLOOKUP(C33,展区展位!A:A,展区展位!C:C)</f>
        <v>D18</v>
      </c>
      <c r="C33" t="s">
        <v>491</v>
      </c>
      <c r="D33" t="str">
        <f>_xlfn.XLOOKUP(C33,企业简介提取!B:B,企业简介提取!F:F)</f>
        <v>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
自成立以来，游匠始终站在电竞行业的最前沿，依托强大的技术支撑和丰富的平台资源，构建涵盖内容创作、形象塑造到粉丝运营……</v>
      </c>
      <c r="E33" t="str">
        <f>INDEX(_xlfn._xlws.FILTER(报名明细!$I:$I,报名明细!$B:$B=$C33),1)</f>
        <v>经纪人/星探/运营（学历：初中及以下 专业要求：无）</v>
      </c>
      <c r="F33" t="str">
        <f>INDEX(_xlfn._xlws.FILTER(报名明细!$L:$L,报名明细!$B:$B=$C33),1)</f>
        <v>岗位职责：1.发掘潜力主播：通过各大直播平台、社交媒体等渠道，寻找有潜力的FPS游戏主播，评估其直播风格、技术水平及粉丝互动能力。2.签约与谈判：与目标主播沟通，达成合作意向，完成签约流程，确保双方权益。3.主播培养：协助新签约主播制定直播计划，提供内容建议，帮助其提升直播效果与粉丝粘性。4.数据分析：跟踪主播的直播数据（如观看人数、互动率等），定期分析并优化运营策略。5.资源对接：为主播争取平台推荐位、活动资源等，提升曝光率。6.维护关系：与主播保持良好沟通，解决其直播中的问题，确保长期合作。任职要求：1.热爱FPS游戏：熟悉《无畏契约》、《三角洲》等FPS游戏，了解游戏圈动态及玩家需求。2.行业经验：有直播行业、电竞行业或艺人经纪相关经验者优先。3.敏锐洞察力：能快速识别有潜力的主播，判断其发展前景。4.沟通能力强：具备优秀的谈判与沟通技巧，能与主播、平台等多方建立良好关系。5.有良好的数据分析能力、责任心与执行力、抗压能力。</v>
      </c>
      <c r="G33" t="str">
        <f>INDEX(_xlfn._xlws.FILTER(报名明细!$I:$I,报名明细!$B:$B=$C33),2)</f>
        <v>HR招聘专员（游戏向）（学历：初中及以下 专业要求：企业管理（含：财务管理、市场营销、人力资源管理））</v>
      </c>
      <c r="H33" t="str">
        <f>INDEX(_xlfn._xlws.FILTER(报名明细!$L:$L,报名明细!$B:$B=$C33),2)</f>
        <v>岗位职责：1、负责游戏行业相关岗位的招聘工作，包括编导、剪辑、运营等职位的筛选与面试安排；2、利用多种渠道发布招聘信息，吸引并筛选合适的候选人；3、与候选人保持良好沟通，了解其职业需求，提供专业的招聘咨询服务；4、有MCN、直播、游戏行业招募经验者优先。任职要求：1、对游戏行业有浓厚兴趣，了解游戏的基本知识与运营模式；2、具备良好的沟通能力和人际交往技巧，能够高效地与候选人及团队沟通；3、具有较强的组织和协调能力，能够独立处理招聘全流程；4、熟练使用各类招聘工具和办公软件，具备数据分析能力；5、积极主动，具有高度的责任心和团队合作精神。</v>
      </c>
      <c r="I33" t="str">
        <f>INDEX(_xlfn._xlws.FILTER(报名明细!$I:$I,报名明细!$B:$B=$C33),3)</f>
        <v>视频编导（有真人向破圈经验）（学历：初中及以下 专业要求：无）</v>
      </c>
      <c r="J33" t="str">
        <f>INDEX(_xlfn._xlws.FILTER(报名明细!$L:$L,报名明细!$B:$B=$C33),3)</f>
        <v>岗位职责1.负责公司达人真人向视频的内容创意、脚本撰写、分镜设计及现场执导；2.深度挖掘达人人设（唐启华、煎饼郭子等），策划并执行跨界破圈内容（如：游戏+剧情/颜值/文化等）；3.跟踪视频数据（播放、完播、互动），基于数据反馈持续优化内容方向；4.协同拍摄与后期团队，把控视频质量，确保内容高效产出。任职要求：1.2年以上短视频或影视编导经验，有成熟破圈视频案例优先；2.网感极佳，深刻理解短视频平台的流量密码和流行趋势；3.具备出色的创意策划能力和剧本写作能力，能独立完成脚本创作；4.了解游戏，对《无畏契约》有基本了解兴趣，对达人人设有基本认知。5.具备良好的团队协作和沟通能力，能承受快节奏工作压力。</v>
      </c>
    </row>
    <row r="34" spans="1:10">
      <c r="A34" t="str">
        <f>_xlfn.XLOOKUP(C34,展区展位!A:A,展区展位!B:B)</f>
        <v>A机械/制造/能源</v>
      </c>
      <c r="B34" t="str">
        <f>_xlfn.XLOOKUP(C34,展区展位!A:A,展区展位!C:C)</f>
        <v>A21</v>
      </c>
      <c r="C34" t="s">
        <v>530</v>
      </c>
      <c r="D34" t="str">
        <f>_xlfn.XLOOKUP(C34,企业简介提取!B:B,企业简介提取!F:F)</f>
        <v>果栗智造(上海)技术股份有限公司成立于2015年，拥有实力雄厚的研发中心和制造中心，专注于磁悬浮驱动传输技术的研发与创新，是行业领先的智能柔性传输系统解决方案供应商。
公司坚持“客户至上、创新不止、品质精湛、服务领先开放合作"宗旨，面向全球锂电、3C消费电子、半导体液晶面板、汽车电子、医疗器械、制药、智能物流、高端日用品等行业的设备商、制造商和合作伙伴，提供精密高速、智能的磁悬浮柔性传输系统产品与……</v>
      </c>
      <c r="E34" t="str">
        <f>INDEX(_xlfn._xlws.FILTER(报名明细!$I:$I,报名明细!$B:$B=$C34),1)</f>
        <v>生产储备干部（学历：大专 专业要求：机械工程,自动化）</v>
      </c>
      <c r="F34" t="str">
        <f>INDEX(_xlfn._xlws.FILTER(报名明细!$L:$L,报名明细!$B:$B=$C34),1)</f>
        <v>岗位职责：1、此岗位在生产线实际岗位上历练，通过实际生产作业岗位，学习到生产工艺、技术及品质要求，能够短时间内迅速上岗，并能独立应对生产作业相关问题；2、具备较强的学习能力、沟通协调能力；3、本岗位为公司长期发展而培养公司生产工程技术、一线管理、品质监管等岗位，平台好、发展潜力岗位。岗位要求：1、能吃苦耐劳，愿意从基层岗位踏实做2、全日制大专及以上学历（优秀应届生亦可），如“机械自动化、机电一体化专业、应用电子技术专业、信息工程、电子工程相关专业更佳；3、沟通表达能力强，心态阳光，团队协作意识强，有很强的执行力及责任心。晋升路径：路径一：管理路径：员工--主管--经理--总监专业路径：实习--初级--中级--高级--专家公司福利：餐费补贴、交通补贴、实习宿舍、员工食堂年终奖金、五险一金、带薪年假、周末双休团建旅游、社团活动、节日礼包、年度体检</v>
      </c>
      <c r="G34" t="str">
        <f>INDEX(_xlfn._xlws.FILTER(报名明细!$I:$I,报名明细!$B:$B=$C34),2)</f>
        <v>储备技术员（学历：大专 专业要求：机械工程,自动化,电气工程及其自动化）</v>
      </c>
      <c r="H34" t="str">
        <f>INDEX(_xlfn._xlws.FILTER(报名明细!$L:$L,报名明细!$B:$B=$C34),2)</f>
        <v>【工作内容】-负责协助技术团队完成设备调试、维护及日常运行管理工作；-参与生产流程优化和技术方案的实施，提升工作效率和产品质量；-协助进行技术资料的整理与归档，确保信息准确性和可追溯性；-配合团队完成项目任务，积极参与团队协作与沟通，推动项目顺利推进；-定期参与岗位培训与技能提升课程，不断提升自身专业能力与综合素质；-根据工作安排，完成上级交办的其他相关技术支持任务。【任职要求】-大专及以上学历，机械一体化相关专业；-有较强的责任心和团队意识，能够服从工作安排并积极融入团队；-无需相关工作经验，欢迎应届毕业生或具备潜力的求职者加入；晋升路径：路径一：管理路径：员工--主管--经理--总监专业路径：实习--初级--中级--高级--专家公司福利：餐费补贴、交通补贴、实习宿舍、员工食堂年终奖金、五险一金、带薪年假、周末双休团建旅游、社团活动、节日礼包、年度体检</v>
      </c>
      <c r="I34" t="str">
        <f>INDEX(_xlfn._xlws.FILTER(报名明细!$I:$I,报名明细!$B:$B=$C34),3)</f>
        <v>技术管理储备生(研发方向)（学历：大专 专业要求：机械工程,自动化）</v>
      </c>
      <c r="J34" t="str">
        <f>INDEX(_xlfn._xlws.FILTER(报名明细!$L:$L,报名明细!$B:$B=$C34),3)</f>
        <v>岗位职责：1、按要求完成各阶段培训，迅速融入企业文化，掌握必备知识技能；2、根据部门要求，在导师指导下，完成专业知识和技能的学习储备；3、积极参与部门具体业务工作，完成储备期间各个岗位的工作任务；4、负责研发过程中的异常问题汇总，反馈、处理等工作；5、负责对样品制作过程中的质量问题进行优化改进；6、有一定的团队管理能力，能积极主动帮助团队成长，并提出合理化建议；7、完成部门领导或导师交办的其他工作任务。任职要求：1、2026届应届毕业生，大专及以上学历，机械工程、自动化等相关专业优先；2、无需相关工作经验，欢迎应届毕业生或具备潜力的求职者加入；3、具有较强的团队合作能力和沟通意识，较强的抗压能力；4、拥有良好的学习能力和创新能力。晋升路径：路径一：管理路径：员工--主管--经理--总监专业路径：实习--初级--中级--高级--专家公司福利：餐费补贴、交通补贴、实习宿舍、员工食堂年终奖金、五险一金、带薪年假、周末双休团建旅游、社团活动、节日礼包、年度体检</v>
      </c>
    </row>
    <row r="35" spans="1:10">
      <c r="A35" t="str">
        <f>_xlfn.XLOOKUP(C35,展区展位!A:A,展区展位!B:B)</f>
        <v>E城市运营与技术服务</v>
      </c>
      <c r="B35" t="str">
        <f>_xlfn.XLOOKUP(C35,展区展位!A:A,展区展位!C:C)</f>
        <v>E09</v>
      </c>
      <c r="C35" t="s">
        <v>558</v>
      </c>
      <c r="D35" t="str">
        <f>_xlfn.XLOOKUP(C35,企业简介提取!B:B,企业简介提取!F:F)</f>
        <v>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v>
      </c>
      <c r="E35" t="str">
        <f>INDEX(_xlfn._xlws.FILTER(报名明细!$I:$I,报名明细!$B:$B=$C35),1)</f>
        <v>分公司体育中心前台（学历：初中及以下 专业要求：无）</v>
      </c>
      <c r="F35" t="str">
        <f>INDEX(_xlfn._xlws.FILTER(报名明细!$L:$L,报名明细!$B:$B=$C35),1)</f>
        <v>岗位职责:1.负责体育馆前台的日常行政事务，确保入场流程顺畅。2.组织和准备公司内部会议所需资料，保证会议前准备充分。3.处理公司内外的通信事务，包括报纸送递、信件分发等。4.负责员工的考勤管理，包括考勤录入及门禁控制。5.维护前台区域的卫生，确保环境整洁。任职要求：1.具备良好的沟通能力和服务意识，能够有效处理客户咨询和需求。2.熟练掌握办公软件的使用，能够高效完成工作任务。3.具有较强的组织能力和责任心，能够独立处理和解决问题。4.具备良好的团队合作精神，能够与团队成员有效沟通。5.对工作细心认真，能够在快节奏环境中保持积极态度。福利待遇：公司提供包吃住！</v>
      </c>
      <c r="G35" t="str">
        <f>INDEX(_xlfn._xlws.FILTER(报名明细!$I:$I,报名明细!$B:$B=$C35),2)</f>
        <v>售前售后技术支持人员（学历：初中及以下 专业要求：无）</v>
      </c>
      <c r="H35" t="str">
        <f>INDEX(_xlfn._xlws.FILTER(报名明细!$L:$L,报名明细!$B:$B=$C35),2)</f>
        <v>岗位职责：一、职位描述：1、熟悉掌握公司产品，为产品做售前讲解，功能演示等技术支撑工作；2、协助销售针对售前客户提出的疑问进行解答；3、吃苦耐劳，愿意接受新事物。二、岗位要求：1、有销售相关经验者优先；2、能接触并尝试新事物者优先，良好的团队协调能力，良好的沟通能力与执行力；3、熟练使用计算机，熟练office等常用办公软件，ps，pr软件者优先；4、思维活跃、有逻辑性，有良好的语言表达及沟通能力；5、会开车，有驾驶执照优先；（不会也没关系）三、公司福利：1、公司提供免费员工公寓，表现优异者可升级为单人公寓；公司提供一日三餐；2、公司环境优美，绿植丰富，生活便利。公司园区内有无人超市，羽毛球馆、网球场、台球、乒乓球、健身房、书吧等；3、朝阳行业，晋升方向多元化，晋升空间大。</v>
      </c>
      <c r="I35" t="str">
        <f>INDEX(_xlfn._xlws.FILTER(报名明细!$I:$I,报名明细!$B:$B=$C35),3)</f>
        <v>副总秘书（学历：初中及以下 专业要求：电子商务类,计算机信息管理,计算机类,计算机科学与技术,秘书学）</v>
      </c>
      <c r="J35" t="str">
        <f>INDEX(_xlfn._xlws.FILTER(报名明细!$L:$L,报名明细!$B:$B=$C35),3)</f>
        <v>1.整理日常公文、报告等相关文书资料；2、负责部门呈送批核文件的预审、整理、分类及递交工作；3、负责日常会议的组织、安排，并负责起草、汇总会议资料；4、负责日常来访客人的接待工作；5、日常行程的协调及安排工作；任职要求：1.大专及以上学历；2、熟练使用office等办公软件，语言及文字表达能力强；3、形象气质佳4、性格热情开朗，善于沟通；做事细致、认真，亲和力强；公司福利：1、公司提供员工公寓，表现优异者可升级为单人公寓；2、公司环境优美，绿植丰富，生活便利。公司园区内有无人超市，羽毛球馆、网球场、台球、乒乓球、健身房、书吧等；3、朝阳行业，晋升方向多元化，晋升空间大。</v>
      </c>
    </row>
    <row r="36" spans="1:10">
      <c r="A36" t="str">
        <f>_xlfn.XLOOKUP(C36,展区展位!A:A,展区展位!B:B)</f>
        <v>A机械/制造/能源</v>
      </c>
      <c r="B36" t="str">
        <f>_xlfn.XLOOKUP(C36,展区展位!A:A,展区展位!C:C)</f>
        <v>A25</v>
      </c>
      <c r="C36" t="s">
        <v>584</v>
      </c>
      <c r="D36" t="str">
        <f>_xlfn.XLOOKUP(C36,企业简介提取!B:B,企业简介提取!F:F)</f>
        <v>       朴维科技成立于2011年，国家高新技术企业。
       朴维科技自成立以来，致力于湿制程工艺过程自动化智能化管控方案的研发、制造及销售，为清洗、酸洗、电镀、化学镀、铝氧化、涂装前处理等工艺槽液的取样、分析、化学品添加提供智能化控解决方案，广泛应用于电子、PCB线路板、半导体、芯片、液晶面板，光伏，汽车、航空航天、卫浴、五金、手机、电脑等行业。采用设备替代人工进行工艺药水过程监控的……</v>
      </c>
      <c r="E36" t="str">
        <f>INDEX(_xlfn._xlws.FILTER(报名明细!$I:$I,报名明细!$B:$B=$C36),1)</f>
        <v>安装调试工程师（学历：大专 专业要求：自动化,机电一体化技术,工业机器人技术,工业智能）</v>
      </c>
      <c r="F36" t="str">
        <f>INDEX(_xlfn._xlws.FILTER(报名明细!$L:$L,报名明细!$B:$B=$C36),1)</f>
        <v>岗位职责：1、工业自动化设备、仪器的装配，调试，维护技术支持、售前与售后服务；2、设备/系统的现场安装、调试、验收以及客户培训；3、能读懂机械设计图纸、电气接线图、组装图；4、具有扎实的电工基础知识，适应出差，团队协作精神强，沟通能力强；5、较强的独立分析问题和解决问题的能力；4、了解电气控制及PLC基础知识。任职要求：1、有电工证，持有C照或以上驾驶证者优先；2、专业：电气自动化、机电一体化、智能机电、工业机器人等。薪资构成：基本工资+绩效工资+项目奖+年终奖</v>
      </c>
      <c r="G36" t="str">
        <f>INDEX(_xlfn._xlws.FILTER(报名明细!$I:$I,报名明细!$B:$B=$C36),2)</f>
        <v>装配技术员（学历：大专 专业要求：自动化,机电一体化技术,工业机器人技术,工业智能）</v>
      </c>
      <c r="H36" t="str">
        <f>INDEX(_xlfn._xlws.FILTER(报名明细!$L:$L,报名明细!$B:$B=$C36),2)</f>
        <v>岗位职责1、工业自动化设备的电气装配（PLC、继电器、断路器等电气部件）设备的现场安装；2、能读懂电气接线图、组装图，接线板电气柜接线；3、自动化分析仪器的模块的安装及管路系统的连接装配。任职要求：1.自动化、机电、工业机器人专业等优先2.能看懂图纸，具备较强的动手能力能，熟练使用常规的电气接线工具。薪资构成：基本工资+加班工资+项目奖+年终奖应届生亦可</v>
      </c>
      <c r="I36" t="str">
        <f>INDEX(_xlfn._xlws.FILTER(报名明细!$I:$I,报名明细!$B:$B=$C36),3)</f>
        <v>管培生（学历：大专 专业要求：电气工程及其自动化,机电一体化技术,工业机器人技术,智能制造技术）</v>
      </c>
      <c r="J36" t="str">
        <f>INDEX(_xlfn._xlws.FILTER(报名明细!$L:$L,报名明细!$B:$B=$C36),3)</f>
        <v>岗位职责：1、工业自动化设备、仪器的装配，调试，维护技术支持；2、设备的安装、调试、验收以及客户培训；3、能读懂电气接线图、组装图；4、具有扎实的电工基础知识，适应出差；任职要求：1、有电工证者优先；2、专业：电气自动化，机电一体化，工业机器人等；3、了解电气控制及PLC基础知识优先；4、实习生和应届生亦可。薪酬福利：1、一对一的带教、系统化的业务知识培训；2、完善的职业发展规划；技术方向：初级工程师—中级工程师—高级工程师管理方向：组长—主管助理—主管—经理—总监</v>
      </c>
    </row>
    <row r="37" spans="1:10">
      <c r="A37" t="str">
        <f>_xlfn.XLOOKUP(C37,展区展位!A:A,展区展位!B:B)</f>
        <v>A机械/制造/能源</v>
      </c>
      <c r="B37" t="str">
        <f>_xlfn.XLOOKUP(C37,展区展位!A:A,展区展位!C:C)</f>
        <v>A27</v>
      </c>
      <c r="C37" t="s">
        <v>598</v>
      </c>
      <c r="D37" t="str">
        <f>_xlfn.XLOOKUP(C37,企业简介提取!B:B,企业简介提取!F:F)</f>
        <v>      上海汉尼生物细胞技术有限公司（Shanghai Harmony Cell Technology Co., 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v>
      </c>
      <c r="E37" t="str">
        <f>INDEX(_xlfn._xlws.FILTER(报名明细!$I:$I,报名明细!$B:$B=$C37),1)</f>
        <v>市场专员（学历：本科 专业要求：生物科学,生物工程,生物技术,微生物学）</v>
      </c>
      <c r="F37" t="str">
        <f>INDEX(_xlfn._xlws.FILTER(报名明细!$L:$L,报名明细!$B:$B=$C37),1)</f>
        <v>岗位工作内容：1、协助上级完成营销策略制订2、合作商管理与流程规范3、大客户的维护，定期电话邮件沟通，必要时进行拜访工作4、少量文献翻译工作任职条件：1、教育背景：生物、医药，食品等相关专业本科以上学历。2、大学英语六级3、实习期能保证一周至少出勤三天，提供转正机会。</v>
      </c>
      <c r="G37" t="str">
        <f>INDEX(_xlfn._xlws.FILTER(报名明细!$I:$I,报名明细!$B:$B=$C37),2)</f>
        <v>市场经理助理（学历：本科 专业要求：生物科学,生物技术,微生物学,制药工程）</v>
      </c>
      <c r="H37" t="str">
        <f>INDEX(_xlfn._xlws.FILTER(报名明细!$L:$L,报名明细!$B:$B=$C37),2)</f>
        <v>岗位内容：1.监测产品销售情况，分析市场需求变化和竞争趋势，为公司制定更好的销售策略和服务方案；2.负责市场调研及数据收集、整合和分析，定期汇报和总结市场信息，并将其应用到产品和品牌推广中；3.负责客户报价的准备、样品发送、合同洽谈以及后续的收款等工作，确保销售流程顺畅高效，同时参与解决客户在购买过程中遇到的问题；4.参与组织和执行各种推广活动，积极开拓新客户和市场份额，提高销售额和用户体验；5.团队协作与跨部门沟通：与研发部、技术部、物流等部门保持良好的沟通与协作，确保销售项目的顺利进行。</v>
      </c>
      <c r="I37" t="str">
        <f>INDEX(_xlfn._xlws.FILTER(报名明细!$I:$I,报名明细!$B:$B=$C37),3)</f>
        <v>销售工程师（试剂耗材类）（学历：大专 专业要求：无）</v>
      </c>
      <c r="J37" t="str">
        <f>INDEX(_xlfn._xlws.FILTER(报名明细!$L:$L,报名明细!$B:$B=$C37),3)</f>
        <v>工作职责：1、负责所辖区域内的销售工作。2、定期拜访客户；收集客户订单。3、接受并协助公司处理客户投诉。4、定期反映市场信息；完成区域内销售任务；确保货款按时回收。基本要求：1、生物、医药、食品、环境、化学或营销类相关专业，专科及以上，35岁以下2、能吃苦，有开拓能力和敬业精神。3、为人诚恳，团队意识强。4、性格开朗,具有良好的人际沟通能力,有较强的客户服务意识。5、英语良好，能熟练使用电脑。6、有相关工作经验者优先考虑。公司福利：1、双休2、五险一金/带薪休假（随工龄增长）3、餐费补贴4、重视员工发展，定期提供系统的培训（优秀员工有出国培训机会）5、年度体检6、年度旅游7、依照法定执行节假日休息8、节日福利，新婚及生育津贴面试地点：上海投递简历时请附近照一张</v>
      </c>
    </row>
    <row r="38" spans="1:10">
      <c r="A38" t="str">
        <f>_xlfn.XLOOKUP(C38,展区展位!A:A,展区展位!B:B)</f>
        <v>A机械/制造/能源</v>
      </c>
      <c r="B38" t="str">
        <f>_xlfn.XLOOKUP(C38,展区展位!A:A,展区展位!C:C)</f>
        <v>A15</v>
      </c>
      <c r="C38" t="s">
        <v>603</v>
      </c>
      <c r="D38" t="str">
        <f>_xlfn.XLOOKUP(C38,企业简介提取!B:B,企业简介提取!F:F)</f>
        <v>   上海复合材料科技有限公司由上海航天设备制造总厂有限公司、上海航天汽车机电股份有限公司、上海卫星装备研究所三家单位投资。公司是上海市高新技术企业，是集团公司八院的复合材料技术研发中心。主要承担航天领域的弹、箭、星、船结构及功能性复合材料产品的研发、生产和技术服务，是一家以军为本、寓军于民的高新技术企业，也是集团公司八院唯一一家复合材料专业研制生产单位。
   公司建成了华东地区最大的复合材料生……</v>
      </c>
      <c r="E38" t="str">
        <f>INDEX(_xlfn._xlws.FILTER(报名明细!$I:$I,报名明细!$B:$B=$C38),1)</f>
        <v>检验员（学历：大专 专业要求：无）</v>
      </c>
      <c r="F38" t="str">
        <f>INDEX(_xlfn._xlws.FILTER(报名明细!$L:$L,报名明细!$B:$B=$C38),1)</f>
        <v>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技能等级证书优先考虑</v>
      </c>
      <c r="G38" t="str">
        <f>INDEX(_xlfn._xlws.FILTER(报名明细!$I:$I,报名明细!$B:$B=$C38),2)</f>
        <v>技能实习生（学历：大专 专业要求：无）</v>
      </c>
      <c r="H38" t="str">
        <f>INDEX(_xlfn._xlws.FILTER(报名明细!$L:$L,报名明细!$B:$B=$C38),2)</f>
        <v>1.熟悉复合材料试样力学性能测试相关的操作规范和测试标准2.负责按照测试标准或操作规范正确使用电子万能试验机进行材料试样的力学性能3.负责按要求做好测试记录、台账4.能够正确使用游标卡尺、千分尺等工量具5.具有实验室工作经验，能独立使用电子万能试验机者优先</v>
      </c>
      <c r="I38" t="str">
        <f>INDEX(_xlfn._xlws.FILTER(报名明细!$I:$I,报名明细!$B:$B=$C38),3)</f>
        <v>工艺员（学历：硕士 专业要求：材料科学与工程,复合材料与工程,材料学,纺织材料与纺织品设计,高分子材料工程技术,机械设计制造及其自动化,一般力学与力学基础,工程力学）</v>
      </c>
      <c r="J38" t="str">
        <f>INDEX(_xlfn._xlws.FILTER(报名明细!$L:$L,报名明细!$B:$B=$C38),3)</f>
        <v>工作职责：1、负责碳纤维复合材料零件的成型工艺技术、复合材料的机械加工技术及复合材料部组件的胶接装配工艺技术的研发和现场调试工作（工艺参数的开发、操作规范编制、产品胶接装配工艺）；2、参与新技术、新工艺、工艺改进等课题研究、试验验证、总结工作（工艺改进项目立项、开展试验、项目总结）；3、协助参与复合材料部组件胶接装配所需要的模具和工装、检具的设计开发；4、按照上级设计输入和公司技术标准开展工作，完成上级交办的其它工作。任职资格：1、机械类专业、复合材料类专业、材料类等专业硕士及以上学历；2、了解复合材料成型工艺、结构件加工工艺；3、具有读图和绘图能力，熟练运用Proe、CAD等绘图软件；4、具备技术文件编写能力，能熟练使用计算机办公软件；5、善于团队合作，协调沟通能力强、工作有耐心、有责任感。</v>
      </c>
    </row>
    <row r="39" spans="1:10">
      <c r="A39" t="str">
        <f>_xlfn.XLOOKUP(C39,展区展位!A:A,展区展位!B:B)</f>
        <v>A机械/制造/能源</v>
      </c>
      <c r="B39" t="str">
        <f>_xlfn.XLOOKUP(C39,展区展位!A:A,展区展位!C:C)</f>
        <v>A14</v>
      </c>
      <c r="C39" t="s">
        <v>614</v>
      </c>
      <c r="D39" t="str">
        <f>_xlfn.XLOOKUP(C39,企业简介提取!B:B,企业简介提取!F:F)</f>
        <v>上海电气集团上海电机厂有限公司是上海电气集团下属的一家具有现代化生产规模的综合性电机制造企业，位于沪西闵行，黄浦江畔，占地面积80万平方米。公司与共和国同龄，是新中国成立后最早建立的大型电机制造骨干企业。产品广泛用于火电、核电、水电、风电、冶金、水利、石化、船舶、矿山等领域，年订单量超60亿元，远销40多个国家和地区，是中国电机工业的一颗明珠。
我们提供：
职业发展及培训：
大学生“1+3+5”培……</v>
      </c>
      <c r="E39" t="str">
        <f>INDEX(_xlfn._xlws.FILTER(报名明细!$I:$I,报名明细!$B:$B=$C39),1)</f>
        <v>项目经理（学历：本科 专业要求：电气类,机械类）</v>
      </c>
      <c r="F39" t="str">
        <f>INDEX(_xlfn._xlws.FILTER(报名明细!$L:$L,报名明细!$B:$B=$C39),1)</f>
        <v>1、合同管理。负责实行项目合同的分解，编制计划并下发；2、协调合同附带监造计划的签订，就监造过程中发生的重大质量、技术问题与质保部、甲方或业主沟通；3、根据公司项目计划，对项目的进度、质量进行全方位跟踪并控制，考核项目的节点，并对产品的发货进行通知；4、项目的管理，保证项目合同执行的符合性，并对项目准点交货进行控制；5、项目风险评估与控制，了解项目进展及审批情况；6、及时跟踪项目执行过程中的设计、工艺、质保、采购、制造、试验、装箱、发货直至项目验收。专业要求：电气类（电气工程及其自动化/电机与电器）机械类（机械工程及其自动化）任职要求：1、学历本科及以上；2、本科英语CET-4；研究生英语CET-6；口语良好；3、熟练操作计算机；4、有较强的承受压力的能力；较高的学习能力和适应能力；富有团队精神，有责任感；5、有学生干部工作经验优先。</v>
      </c>
      <c r="G39" t="str">
        <f>INDEX(_xlfn._xlws.FILTER(报名明细!$I:$I,报名明细!$B:$B=$C39),2)</f>
        <v>生产制造培训生（学历：本科 专业要求：机械类,电气类,工业工程）</v>
      </c>
      <c r="H39" t="str">
        <f>INDEX(_xlfn._xlws.FILTER(报名明细!$L:$L,报名明细!$B:$B=$C39),2)</f>
        <v>1、根据销售排产需求及工厂实际生产能力，参与策划和排定大纲计划2、根据计划管理工作要求，参与计划相关会务3、负责生产的准备、进度与配套件落实，合理调度，控制生产节奏4、现场技术指导5、协调生产中突发性的材料、技术、工艺、质量、设备、能源、生产场地等问题，及时采取有效措施6、确保分厂质量体系的执行与落地7、负责协调解决现场发生的质量问题8、负责分厂的工艺工关、质量改进及技术降本工作专业要求：机械、电气、工业工程等专业任职要求：1、学历本科及以上；2、本科英语CET-4；研究生英语CET-6；口语良好；3、熟练操作计算机；4、有较强的承受压力的能力；较高的学习能力和适应能力；富有团队精神，有责任感；5、有学生干部工作经验优先。</v>
      </c>
      <c r="I39" t="str">
        <f>INDEX(_xlfn._xlws.FILTER(报名明细!$I:$I,报名明细!$B:$B=$C39),3)</f>
        <v>售后服务工程师（学历：本科 专业要求：电气类,机械类）</v>
      </c>
      <c r="J39" t="str">
        <f>INDEX(_xlfn._xlws.FILTER(报名明细!$L:$L,报名明细!$B:$B=$C39),3)</f>
        <v>1、参加现场设备开箱，清点、检查设备数量及质量。对箱单进行各方现场签证，并收集。2、接受任务时问明任务内容及时做好准备工作，并先行与用户联系确认到达现场时间，一般项目须在24小时到达现场。3、及时准确的了解现场情况并进行工作上的问题处理，及时进行信息反馈。把握和纠正现场安装中存在的问题，组织推进现场服务和问题的及时处理。4、市场开拓：市场和客户开发及管理；5、服务业务承接及执行过程中销售相关工作，包括不限于标书制度、订单签订、销售、回款等。6、负责现场与客户之间的沟通、协调，数理公司的形象维护公司的信誉及利益。专业要求：电气、机械大类专业任职要求：1、学历本科及以上；2、本科英语CET-4；研究生英语CET-6；口语良好；3、熟练操作计算机；4、有较强的承受压力的能力；较高的学习能力和适应能力；富有团队精神，有责任感；5、有学生干部工作经验优先。</v>
      </c>
    </row>
    <row r="40" spans="1:10">
      <c r="A40" t="str">
        <f>_xlfn.XLOOKUP(C40,展区展位!A:A,展区展位!B:B)</f>
        <v>C汽车/服装/贸易</v>
      </c>
      <c r="B40" t="str">
        <f>_xlfn.XLOOKUP(C40,展区展位!A:A,展区展位!C:C)</f>
        <v>C13</v>
      </c>
      <c r="C40" t="s">
        <v>647</v>
      </c>
      <c r="D40" t="str">
        <f>_xlfn.XLOOKUP(C40,企业简介提取!B:B,企业简介提取!F:F)</f>
        <v>上海赞瑞实业有限公司，工信部国家级专精特新小巨人企业，国内消防救援服装行业的领导者、隐形冠军。
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v>
      </c>
      <c r="E40" t="str">
        <f>INDEX(_xlfn._xlws.FILTER(报名明细!$I:$I,报名明细!$B:$B=$C40),1)</f>
        <v>销售管培生（学历：本科 专业要求：无）</v>
      </c>
      <c r="F40" t="str">
        <f>INDEX(_xlfn._xlws.FILTER(报名明细!$L:$L,报名明细!$B:$B=$C40),1)</f>
        <v>主要职责：1）销售管培生将接受关于销售技巧、销售流程和销售策略的培训。2）销售管培生需要参与市场研究和竞争分析，以了解目标市场、竞争对手和潜在客户的需求。3）销售管培生需要与客户沟通，建立和维护客户关系，提供支持并满足客户需求。4）销售管培生通常会协助销售团队的成员，提供销售支持，协助准备销售提案、合同和报价。5）销售管培生需要记录销售活动、制定报告并分析销售绩效，以评估销售目标的达成情况。任职要求：1）本科及以上，尤其是与工商管理、市场营销、物流管理等相关的专业。2）沟通能力：出色的口头和书面沟通技能，能够与客户和团队有效交流。3）团队合作：具备良好的团队合作能力，能够与多个利益相关者协作。4）激情和动力：对销售领域有热情，愿意学习和不断提高销售技能。5）自我驱动：能够独立工作，积极主动，具备解决问题和决策能力。6）分析能力：能够分析市场趋势和数据，制定销售策略。8）技术技能：熟练使用办公软件和销售工具。</v>
      </c>
      <c r="G40" t="str">
        <f>INDEX(_xlfn._xlws.FILTER(报名明细!$I:$I,报名明细!$B:$B=$C40),2)</f>
        <v>平面设计师（学历：本科 专业要求：服装设计与工程,艺术设计学,视觉传达设计,服装与服饰设计,设计艺术学,艺术设计,视觉传播设计与制作,广告设计与制作,产品艺术设计,设计学类）</v>
      </c>
      <c r="H40" t="str">
        <f>INDEX(_xlfn._xlws.FILTER(报名明细!$L:$L,报名明细!$B:$B=$C40),2)</f>
        <v>岗位职责：1.负责公司的宣传资料、平面设计等工作。2.负责公司广告宣传品平面设计及制作。3.与其他部门、策划人员充分沟通，分析市场策划方案及制作需求，充分理解意图，设计和创作平面方案。4.负责对广告、宣传彩页、宣传海报等的设计与制作。5.负责公司大型市场活动、展会、公司内部活动宣传品的设计与安装、实施。6.完成领导安排的其他工作。岗位要求：1.专科及以上学历，广告视觉、平面设计等相关专业毕业；2.1年以上平面设计工作经验；3.熟练使用Photoshop/illustrator/Coreldrew/等设计软件；4.具备平面广告设计、网站设计制作技能；5.较强的理解分析、创意设计能力和色彩搭配能力；6.主动性高，善于沟通、耐心细致，有较强的责任心。7.欢迎应届毕业生/兼职实习前来咨询。</v>
      </c>
      <c r="I40" t="str">
        <f>INDEX(_xlfn._xlws.FILTER(报名明细!$I:$I,报名明细!$B:$B=$C40),3)</f>
        <v>电商运营专员（学历：本科 专业要求：国际经济与贸易,贸易经济,英语,网络与新媒体,传播学,广告学,新闻学,广播电视学,工商管理,市场营销）</v>
      </c>
      <c r="J40" t="str">
        <f>INDEX(_xlfn._xlws.FILTER(报名明细!$L:$L,报名明细!$B:$B=$C40),3)</f>
        <v>岗位职责：1.熟练操作SEO优化，熟悉天猫商城、京东等的运营环境及其交易规则、营销工具和促销活动，可独立完成旗舰店内外营销活动的策划和管理2.分析店铺的销售数据，合理安排并改进销售计划，对店铺商品的陈列及主推商品的广告企划提出自己的建议，并跟踪落实展示3.统筹店内售前沟通、售后处理等，合理调配相关工作人员，优化工作效率任职要求：1.大专以上学历，性别不限，经管类、广告传媒类、计算机、网络、电子商务等相关专业，有天猫商城、京东店铺销售经验者优先；2.工作细心，具有很强的责任心和敬业精神、快速的学习能力、优秀的团队合作精神，良好的沟通和协调能力；3.有学生会经历、有驾照者优先。欢迎应届毕业生。</v>
      </c>
    </row>
    <row r="41" spans="1:10">
      <c r="A41" t="str">
        <f>_xlfn.XLOOKUP(C41,展区展位!A:A,展区展位!B:B)</f>
        <v>D教育/传媒/电竞</v>
      </c>
      <c r="B41" t="str">
        <f>_xlfn.XLOOKUP(C41,展区展位!A:A,展区展位!C:C)</f>
        <v>D04</v>
      </c>
      <c r="C41" t="s">
        <v>717</v>
      </c>
      <c r="D41" t="str">
        <f>_xlfn.XLOOKUP(C41,企业简介提取!B:B,企业简介提取!F:F)</f>
        <v>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v>
      </c>
      <c r="E41" t="str">
        <f>INDEX(_xlfn._xlws.FILTER(报名明细!$I:$I,报名明细!$B:$B=$C41),1)</f>
        <v>管培生（学历：本科 专业要求：无）</v>
      </c>
      <c r="F41" t="str">
        <f>INDEX(_xlfn._xlws.FILTER(报名明细!$L:$L,报名明细!$B:$B=$C41),1)</f>
        <v>职位需求:1.性格开朗、英语口语好，适应全球出差、具有良好的审美意识和沟通能力；2.在社会实践中做过相关的工作，热爱销售，从业过会展行业、在校学生会做过干部可优先；薪资福利待遇：1.实习期间按天计算，试用期7-10K,转正后年收入15W+；2.可协助落户上海；3.拥有了解各国文化及风土人情的机会，拓展全球化视野；4.工作环境及氛围Open，活动多样，师带徒的培养模式，助力新人扎根企业。</v>
      </c>
      <c r="G41" t="str">
        <f>INDEX(_xlfn._xlws.FILTER(报名明细!$I:$I,报名明细!$B:$B=$C41),2)</f>
        <v>文案编辑（学历：本科 专业要求：无）</v>
      </c>
      <c r="H41" t="str">
        <f>INDEX(_xlfn._xlws.FILTER(报名明细!$L:$L,报名明细!$B:$B=$C41),2)</f>
        <v>岗位职责：-负责视频剪辑相关工作，熟练运用视频剪辑软件进行视频制作。-完成基础版面设计任务，助力品牌宣传物料呈现。-独立撰写各类文案，发挥良好文字功底，展现品牌特色与优势。任职要求：-大学二、三在读学生优先，文科、文学或相关文科专业优先考虑。-每周工作时间不少于3天，能保证实习工作的稳定开展。-熟练掌握视频剪辑软件操作，具备一定的版面设计基础，有较强的文案撰写能力。-学习能力强，有责任心，对企宣品牌宣传工作有热情，具备团队协作精神</v>
      </c>
      <c r="I41" t="str">
        <f>INDEX(_xlfn._xlws.FILTER(报名明细!$I:$I,报名明细!$B:$B=$C41),3)</f>
        <v>餐饮店长助理（学历：初中及以下 专业要求：无）</v>
      </c>
      <c r="J41" t="str">
        <f>INDEX(_xlfn._xlws.FILTER(报名明细!$L:$L,报名明细!$B:$B=$C41),3)</f>
        <v>岗位职责：1.负责公司商务接待、宴请事宜的跟进与服务；2.针对于贵宾级别接待信息后，根据接待负责人指示接待分工；3.宴请依据客人的口味，偏好，忌口等准备餐食、酒水。4.接待现场的服务，谦德小院介绍，接待全流程跟进服务。任职要求：1、形象好、气质佳；2、酒店管理相关专业优先，有相关工作经验者优先；3、良好的沟通能力、服务意识及团队合作精神；4、普通话流利，能配合加班;5、提供工作餐，月休4天，晋升空间大。</v>
      </c>
    </row>
    <row r="42" spans="1:10">
      <c r="A42" t="str">
        <f>_xlfn.XLOOKUP(C42,展区展位!A:A,展区展位!B:B)</f>
        <v>C汽车/服装/贸易</v>
      </c>
      <c r="B42" t="str">
        <f>_xlfn.XLOOKUP(C42,展区展位!A:A,展区展位!C:C)</f>
        <v>C07</v>
      </c>
      <c r="C42" t="s">
        <v>720</v>
      </c>
      <c r="D42" t="str">
        <f>_xlfn.XLOOKUP(C42,企业简介提取!B:B,企业简介提取!F:F)</f>
        <v>蔚来于2014年11月成立于上海，致力于成为一家以用户为中心的“用户企业”，为用户创造愉悦的生活方式。经过五年多的发展，蔚来已成为全球领先的高端智能电动汽车企业之一。 
蔚来在全球范围内组建了一支3000多名专业人才的研发队伍，其中很多人都曾就职于业界领先的汽车集团或科技企业，拥有卓越的研发与管理背景。蔚来高度重视专利的积累，目前已获得授权专利及已公开专利申请3800多件，同时建立了一套完整的包括……</v>
      </c>
      <c r="E42" t="str">
        <f>INDEX(_xlfn._xlws.FILTER(报名明细!$I:$I,报名明细!$B:$B=$C42),1)</f>
        <v>门店协同实习生（学历：大专 专业要求：无）</v>
      </c>
      <c r="F42" t="str">
        <f>INDEX(_xlfn._xlws.FILTER(报名明细!$L:$L,报名明细!$B:$B=$C42),1)</f>
        <v>职位描述:1.辅助店长进行门店管理工作2.负责门店接待流程和试驾流程的规范监管3.负责门店对外运营对接工作,如:商场方,活动对接方4.门店物料的统筹与管理职位要求1.全日制本科及以上学历,专业不限2.有汽车销售或展厅运营经历优先3.有亲和力和责任心,注重细节,有较强的团队合作能力;4.对汽车行业、蔚来品牌定位、企业理念和产品知识具有极高的热情5.能适应灵活的工作安排</v>
      </c>
      <c r="G42" t="str">
        <f>INDEX(_xlfn._xlws.FILTER(报名明细!$I:$I,报名明细!$B:$B=$C42),2)</f>
        <v>蔚来顾问实习生（学历：大专 专业要求：无）</v>
      </c>
      <c r="H42" t="str">
        <f>INDEX(_xlfn._xlws.FILTER(报名明细!$L:$L,报名明细!$B:$B=$C42),2)</f>
        <v>（全上海门店就近分配）职位描述:1.用户接待,增强现有用户品牌忠诚度;2.准确地向用户传递并耐心讲解蔚来品牌与产品,并传递蔚来价值观;3.根据销售策略和团队目标,制定工作计划,销售目的达成;4.开展营销活动,不断创新、积极主动地吸引潜在用户。职位要求1.统招全日制本科及以上学历在读，26届以后;2.有驾照,驾驶技术熟练;3.优秀的沟通能力和谈判能力及自我学习能力;4.可实习3-6个月,每周至少出勤3-4天</v>
      </c>
      <c r="I42" t="str">
        <f>INDEX(_xlfn._xlws.FILTER(报名明细!$I:$I,报名明细!$B:$B=$C42),3)</f>
        <v>蔚来顾问（学历：大专 专业要求：无）</v>
      </c>
      <c r="J42" t="str">
        <f>INDEX(_xlfn._xlws.FILTER(报名明细!$L:$L,报名明细!$B:$B=$C42),3)</f>
        <v>职位描述1、准确地向用户传递并耐心讲解蔚来品牌与产品，并传递蔚来价值观；2、为用户提供全面的试驾服务体验，并不断增强现有用户品牌忠诚度；3、根据销售策略和团队目标，制定团队工作计划和目标分配，完成销售并向客户交付车辆；4、开展营销活动，不断创新、积极主动地吸引潜在用户；5、支持公司新店的开设，确保公司文化和价值观在新团队传承；6、承担内部培训师的角色，并根据业务发展需要，完成团队指定的其他工作。职位要求1、大专及以上学历；2、对销售数据敏感，优秀的数据分析能力和逻辑分析能力;3、优秀的沟通能力和谈判能力，良好的自我管理能力及自我学习能力；4、抗压能力强，能够应在高速发展的环境中开展销售管理工作，达到公司业结指标要求；5、认可蔚来汽车的创业公司文化，具备创业公司必要的心理素质；6、C1及以上驾照，驾驶技术熟练；7、本岗位将邀请您提前参与带薪实习体验，快人一步，融入NIO！</v>
      </c>
    </row>
    <row r="43" spans="1:10">
      <c r="A43" t="str">
        <f>_xlfn.XLOOKUP(C43,展区展位!A:A,展区展位!B:B)</f>
        <v>C汽车/服装/贸易</v>
      </c>
      <c r="B43" t="str">
        <f>_xlfn.XLOOKUP(C43,展区展位!A:A,展区展位!C:C)</f>
        <v>C04</v>
      </c>
      <c r="C43" t="s">
        <v>742</v>
      </c>
      <c r="D43" t="str">
        <f>_xlfn.XLOOKUP(C43,企业简介提取!B:B,企业简介提取!F:F)</f>
        <v>上海三枪（集团）有限公司简介
三枪品牌历史介绍：
上海三枪（集团）有限公司是东方国际旗下龙头股份下属的一家以发扬民族品牌“三枪”为核心优势的“老字号”品牌企业，公司集面料研发、针织生产、染整加工、面料测试能力、品牌销售于一体。
上海三枪（集团）有限公司的母体企业是上海针织九厂，上海针织九厂的前身为莹荫针织厂，创建于1928年，董事长王衍庆、经理干庭辉。
1936年，干庭辉在射击比赛中第三次夺冠，1……</v>
      </c>
      <c r="E43" t="str">
        <f>INDEX(_xlfn._xlws.FILTER(报名明细!$I:$I,报名明细!$B:$B=$C43),1)</f>
        <v>销售管培生（学历：本科 专业要求：无）</v>
      </c>
      <c r="F43" t="str">
        <f>INDEX(_xlfn._xlws.FILTER(报名明细!$L:$L,报名明细!$B:$B=$C43),1)</f>
        <v>“三枪未来之星”管培生项目介绍“铸未来”是一种态度，也是一种能力的体现。“三枪未来之星”管培生项目志在吸纳、培养一批充满热血有干劲的大学生，通过零售工作实践变身多面手，三年内掌握经营百万营收店铺所需要的技能，逐步发展成为分公司经理——区域经理——三枪品牌合伙人。我们提倡完全实力主义，一切让能力和才华说话。你将走上零售行业发展的快车道，我们将和你一起挖掘潜力，打破边界，拥抱多元，实现价值。具体来说，工作职责包括：1.学习和掌握公司的产品和服务，了解行业趋势和市场需求；2.负责公司店铺资源的开发和运营，并建立和维护良好的客户关系；3.参与销售计划的制定和执行，制定合理的销售策略和计划；4.收集客户需求和市场信息，对市场变化做出快速响应；5.参与竞品分析和市场调研，为公司的销售策略提供数据支持和市场洞察。如果你是：1.2023/2024届本科及以上学历（市场营销、纺织类相关等专业尤佳）；2.亲和力、自驱力、学习力、应变力强；3.条理清楚、思维敏捷、积极进取、吃苦耐劳；4.热爱时尚、服装零售行业；5.能接受常驻外地工作，并认同公司的战略和人才培养规划。全国分公司所处位置：北京、浙江杭州、江苏南……</v>
      </c>
      <c r="G43" t="str">
        <f>INDEX(_xlfn._xlws.FILTER(报名明细!$I:$I,报名明细!$B:$B=$C43),2)</f>
        <v>服装设计助理（学历：本科 专业要求：服装设计与工程,服装与服饰设计）</v>
      </c>
      <c r="H43" t="str">
        <f>INDEX(_xlfn._xlws.FILTER(报名明细!$L:$L,报名明细!$B:$B=$C43),2)</f>
        <v>岗位职责：1、会运用服装设计、软件服装制版及制作；2、有相关绘画基础与造型的能力，掌握服装的款式、色彩和面料的三大基本要素。3、对服装的结构设计、裁剪和缝制的理解；4、善于收集信息，多方向学习，会熟练运用计算机能力；5、有团队合作精神。任职条件：1、本科及以上学历，服装设计相关专业；2、熟练掌握photoshop,AI等软件制作服装图稿；3、有服装设计相关基础，本人喜好服装设计；4、有较好的沟通能力。注：上海总部和外地分公司都会提供免费员工宿舍（仅限非本市户籍的同学）。</v>
      </c>
      <c r="I43" t="str">
        <f>INDEX(_xlfn._xlws.FILTER(报名明细!$I:$I,报名明细!$B:$B=$C43),3)</f>
        <v>电商运营助理（学历：本科 专业要求：电子商务）</v>
      </c>
      <c r="J43" t="str">
        <f>INDEX(_xlfn._xlws.FILTER(报名明细!$L:$L,报名明细!$B:$B=$C43),3)</f>
        <v>写在岗位职责之前：该岗位为运营助理/专员级的岗位，涉及到多个店铺平台的店铺运营，如天猫、京东、唯品会、猫超、拼多多等平台。如果您之前有一段时间的国内电商店铺运营经历；或者是21-22年应届生，但对店铺运营有一定的了解的认识；属于敢于拓展、外向大方，能够承担挑战和压力的人选，这个岗位会更适合您来应聘。我们的上班时间是9：00-17：00，坐五休二，试用期会有部门负责人制定阶段性成长、工作目标进行带教培养。（非本市户籍的应届大学生成功入职后，可提供员工宿舍）岗位职责：1、协助店长负责铺基础运营工作，提高店铺点击率和浏览量，完成店铺的销售目标；2、负责店铺活动提报、资源位争取及相应的执行跟进工作；3、负责与公司内外部对接沟通，进行相关资料图片整理和审核；4、对店铺销售情况进行评估，对店铺及产品访问量、转化率数据进行分析并做好竞争对手网站的数据的采集、评估与分析；5、对店铺的IP、PV、销量、跳出率、地域分布、转化率等做出专业的数据分析，及时对店铺运营进行改进；6、协助运营负责店铺推广，提高店铺点击率和浏览量，完成店铺销售目标。任职要求：1、本科及以上学历，专业不限，对电子商务有热情，有相关实……</v>
      </c>
    </row>
    <row r="44" spans="1:10">
      <c r="A44" t="str">
        <f>_xlfn.XLOOKUP(C44,展区展位!A:A,展区展位!B:B)</f>
        <v>C汽车/服装/贸易</v>
      </c>
      <c r="B44" t="str">
        <f>_xlfn.XLOOKUP(C44,展区展位!A:A,展区展位!C:C)</f>
        <v>C01</v>
      </c>
      <c r="C44" t="s">
        <v>749</v>
      </c>
      <c r="D44" t="str">
        <f>_xlfn.XLOOKUP(C44,企业简介提取!B:B,企业简介提取!F:F)</f>
        <v>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v>
      </c>
      <c r="E44" t="str">
        <f>INDEX(_xlfn._xlws.FILTER(报名明细!$I:$I,报名明细!$B:$B=$C44),1)</f>
        <v>新媒体运营实习生/新媒体运营助理（学历：大专 专业要求：无）</v>
      </c>
      <c r="F44" t="str">
        <f>INDEX(_xlfn._xlws.FILTER(报名明细!$L:$L,报名明细!$B:$B=$C44),1)</f>
        <v>薪酬：岗位薪资+不封顶提成六险一金：六险一金（养老保险、医疗保险、工伤保险、失业保险、生育保险、商业保险、住房公积金）假期：国家法定节假日及带薪年假其他福利：年度免费体检、节日礼包、优惠内购、餐补、打车补贴、健身房、健康小屋等</v>
      </c>
      <c r="G44" t="str">
        <f>INDEX(_xlfn._xlws.FILTER(报名明细!$I:$I,报名明细!$B:$B=$C44),2)</f>
        <v>汽车售后实习生（学历：大专 专业要求：无）</v>
      </c>
      <c r="H44" t="str">
        <f>INDEX(_xlfn._xlws.FILTER(报名明细!$L:$L,报名明细!$B:$B=$C44),2)</f>
        <v>售后业务实习生服务类岗位职责1、客户接待及客户关系维护；2、各项维修活动及现场协调支服务专家、产品交付等持等任职资格1、具备优秀的沟通协调能力2、有较好的服务意识3、专业不限技师类岗位职业1、支持客户完成各类故障诊断、维修等；2、为维修质量负责，提升客户配件、洗美等专业技师满意度任职资格1、相关专业背景机电维修、钣金、喷漆、2、有电工/技师/驾照等证书优先3、钻研技术，吃苦耐劳</v>
      </c>
      <c r="I44" t="str">
        <f>INDEX(_xlfn._xlws.FILTER(报名明细!$I:$I,报名明细!$B:$B=$C44),3)</f>
        <v>交付实习生（学历：大专 专业要求：无）</v>
      </c>
      <c r="J44" t="str">
        <f>INDEX(_xlfn._xlws.FILTER(报名明细!$L:$L,报名明细!$B:$B=$C44),3)</f>
        <v>岗位职责：协助客户提车用户到店接待、签到、流程引导，解答用户提车疑问，确保客户在提车时能够得到良好的体验和服务；协助用户填写相关交付文件和手续等，并确保所有文件的准确性和完整性；向客户介绍产品的功能、操作方法、用车场景等相关信息，解答客户的疑问；维护交付接待区的整洁和有序，确保环境符合公司形象和标准；岗位要求：大专及以上学历优先，形象气质佳，渴望成功，热爱销售工作。较强的亲和力和服务意识，出色的沟通和客户服务能力。结果导向，较强抗压能力及快速学习能力，能接受排班制工作。拥有良好的团队意识，成为可靠的团队成员。持有驾照且无不良行驶记录。对科技/汽车感兴趣，对小鹏汽车的品牌/产品/文化高度认同。</v>
      </c>
    </row>
    <row r="45" spans="1:10">
      <c r="A45" t="str">
        <f>_xlfn.XLOOKUP(C45,展区展位!A:A,展区展位!B:B)</f>
        <v>A机械/制造/能源</v>
      </c>
      <c r="B45" t="str">
        <f>_xlfn.XLOOKUP(C45,展区展位!A:A,展区展位!C:C)</f>
        <v>A18</v>
      </c>
      <c r="C45" t="s">
        <v>759</v>
      </c>
      <c r="D45" t="str">
        <f>_xlfn.XLOOKUP(C45,企业简介提取!B:B,企业简介提取!F:F)</f>
        <v>我们的“成长”
我们是一家拥有50年制造经验的电力设备制造商，始终专注于电气设备的研发、制造和服务。2004年在深交所上市（股票代码002028）以来，每年以30%的复合增长率稳步发展，2019年公司新增订单90.40亿元。荣膺国家重点火炬计划高新技术企业、中国能源装备十佳民企、上海市创新型企业等荣誉称号。
我们的业务
我们的产业链不断扩大，迄今集团已拥有十多个制造实体，分布于上海、如皋、常州、……</v>
      </c>
      <c r="E45" t="str">
        <f>INDEX(_xlfn._xlws.FILTER(报名明细!$I:$I,报名明细!$B:$B=$C45),1)</f>
        <v>2025校招-工程岗（学历：本科 专业要求：电气工程及其自动化,电气工程与智能控制,电气自动化技术,电气类,电气工程,自动化,电力系统及其自动化,测控技术与仪器）</v>
      </c>
      <c r="F45" t="str">
        <f>INDEX(_xlfn._xlws.FILTER(报名明细!$L:$L,报名明细!$B:$B=$C45),1)</f>
        <v>需求岗位：电气设计工程师、试验工程师，生产计划专员，采购工程师，工艺工程师等；第一年会长期出差要求：1、专业要求：电气类、自动化类、测控类；2、英语过四级3、工作地点：上海，南京，如皋</v>
      </c>
      <c r="G45" t="str">
        <f>INDEX(_xlfn._xlws.FILTER(报名明细!$I:$I,报名明细!$B:$B=$C45),2)</f>
        <v>2025届校招研发岗（学历：硕士 专业要求：机械工程,机械设计制造及其自动化,电气工程及其自动化,电气工程与智能控制,自动化）</v>
      </c>
      <c r="H45" t="str">
        <f>INDEX(_xlfn._xlws.FILTER(报名明细!$L:$L,报名明细!$B:$B=$C45),2)</f>
        <v>需求岗位：电气工程师、机械工程师、硬件工程师、软件工程师、热设计工程师、工艺工程师、系统工程师等；要求：1、专业要求：电气、机械、自动化类；2、博士/硕士；3、工作地点：上海，南京</v>
      </c>
      <c r="I45" t="str">
        <f>INDEX(_xlfn._xlws.FILTER(报名明细!$I:$I,报名明细!$B:$B=$C45),3)</f>
        <v>工程类（学历：本科 专业要求：无）</v>
      </c>
      <c r="J45" t="str">
        <f>INDEX(_xlfn._xlws.FILTER(报名明细!$L:$L,报名明细!$B:$B=$C45),3)</f>
        <v>招聘人数：若干职位描述：从事工程设计工程师、质量工程师、验证工程师等岗位工作。任职要求：1、本科、硕士2024、2025届毕业生；2、专业：电气工程及其自动化、电气工程、机械设计及其自动化、机械工程等专业；3、专业技能：熟悉常用二维及三维制图软件的使用（CAD、Soildworks等）；4、诚实守信，有上进心，较好的表达沟通能力。</v>
      </c>
    </row>
    <row r="46" spans="1:10">
      <c r="A46" t="str">
        <f>_xlfn.XLOOKUP(C46,展区展位!A:A,展区展位!B:B)</f>
        <v>C汽车/服装/贸易</v>
      </c>
      <c r="B46" t="str">
        <f>_xlfn.XLOOKUP(C46,展区展位!A:A,展区展位!C:C)</f>
        <v>C12</v>
      </c>
      <c r="C46" t="s">
        <v>795</v>
      </c>
      <c r="D46" t="str">
        <f>_xlfn.XLOOKUP(C46,企业简介提取!B:B,企业简介提取!F:F)</f>
        <v>上海立峰汽车传动件股份有限公司，是一家专业的高精密汽车部件生产企业，公司总投资额3.5亿元，坐落于上海宝山区罗店镇抚远路2389号，占地面积61000平方米，并拥有12000平方米全空调生产厂房。公司致力于生产汽车自动变速箱的液压变速阀，阀套和高精密加工件。公司拥有世界一流的八轴、六轴、五轴等多轴自动车床、多工位绗磨机、磨削线及硬质阳极氧化等生产设备。并已全面通过IATF16949、ISO9001……</v>
      </c>
      <c r="E46" t="str">
        <f>INDEX(_xlfn._xlws.FILTER(报名明细!$I:$I,报名明细!$B:$B=$C46),1)</f>
        <v>质量工程师（学历：本科 专业要求：无）</v>
      </c>
      <c r="F46" t="str">
        <f>INDEX(_xlfn._xlws.FILTER(报名明细!$L:$L,报名明细!$B:$B=$C46),1)</f>
        <v>1、根据产品规范要求,策划实施产品审核2、根据控制计划及交付计划要求，跟踪组织分拣活动。3、根据不合格品处理程序，组织不合格品评审，编制及实施不合格改善计划。4、根据内外部产品表现，识别质量改进机会，策划，实施并跟踪相关改进方案或项目5、负责接收客户质量信息及客户抱怨，完成8D等方式的客户回复，跟踪并验证、关闭所实施的质量改善活动。组织协调质量退货的处理工作。6、根据产品质量动态，进行日常不合格品统计分析，报告，反映质量趋势7、根据过程能力状态，进行过程监控，分析过程变差并提出相应的改进措施8、根据过程作业标准化进程，推进SOP过程操作标准化及管理流程标准化工作9、根据供应商质量要求，协助实施进货质量检验10、根据产品开发进度计划，参与新产品APQP活动，收集和提交PPAP文件，编制控制计划、检验表单等相关质量控制文件，开发过程中与客户对标零件的检测细节、封样件的确认。11、负责策划产品的检验方案，进行量具的MSA分析研究。管理产品的量检具申购、日常使用的维护，跟踪量检具年度外检的实施。12、跟踪原材料棒材的化学成分及机械性能报告，适时组织第三方检测。13、对于产品相关的个别外部协作的……</v>
      </c>
      <c r="G46" t="str">
        <f>INDEX(_xlfn._xlws.FILTER(报名明细!$I:$I,报名明细!$B:$B=$C46),2)</f>
        <v>技术管培生（学历：本科 专业要求：无）</v>
      </c>
      <c r="H46" t="str">
        <f>INDEX(_xlfn._xlws.FILTER(报名明细!$L:$L,报名明细!$B:$B=$C46),2)</f>
        <v>1.学习设备维护；2.学习生产运营；3.学习质量管理；4.学习工艺开发。❗️机械、电气、自动化、计算机、财务、英语等相关专业❗️朝汽车零部件设计/生产运营方向发展❗️培养计划：生产主管、工艺工程师、设备工程师，质量工程师，董事长助理，成本会计等岗位，录用的管培生有明确的培养规划。</v>
      </c>
      <c r="I46" t="str">
        <f>INDEX(_xlfn._xlws.FILTER(报名明细!$I:$I,报名明细!$B:$B=$C46),3)</f>
        <v>产品工程师（学历：本科 专业要求：无）</v>
      </c>
      <c r="J46" t="str">
        <f>INDEX(_xlfn._xlws.FILTER(报名明细!$L:$L,报名明细!$B:$B=$C46),3)</f>
        <v>1、负责新产品工艺开发和工艺策划，2、负责机加设备的刀具、工yy装和夹具设计，改进和优化工艺参数以提高实物质量、生产效率，降低各种生产成本和费用。岗位要求：1、全日制本科及以上学历，英语四级以上，优秀应届生优先。</v>
      </c>
    </row>
    <row r="47" spans="1:10">
      <c r="A47" t="str">
        <f>_xlfn.XLOOKUP(C47,展区展位!A:A,展区展位!B:B)</f>
        <v>C汽车/服装/贸易</v>
      </c>
      <c r="B47" t="str">
        <f>_xlfn.XLOOKUP(C47,展区展位!A:A,展区展位!C:C)</f>
        <v>C17</v>
      </c>
      <c r="C47" t="s">
        <v>811</v>
      </c>
      <c r="D47" t="str">
        <f>_xlfn.XLOOKUP(C47,企业简介提取!B:B,企业简介提取!F:F)</f>
        <v>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
米锐可的英文Miracle意为“奇迹”，希望每一个员工都可以在人性化的环境里，创造出属于自己及公司的奇迹。公司始终坚守“思考、利人”的价值观……</v>
      </c>
      <c r="E47" t="str">
        <f>INDEX(_xlfn._xlws.FILTER(报名明细!$I:$I,报名明细!$B:$B=$C47),1)</f>
        <v>海运单证员（学历：本科 专业要求：无）</v>
      </c>
      <c r="F47" t="str">
        <f>INDEX(_xlfn._xlws.FILTER(报名明细!$L:$L,报名明细!$B:$B=$C47),1)</f>
        <v>工作职责1.主要负责进出口货物的文件操作，包括委托订舱/拖车/仓储/报关/保险等；2.配合销售与客户保持良好的关系，处理客户交付的一切事宜；3.与供应商维持良好的沟通和联系，及时有效地处理各类问题；4.密切配合公司销售/商务/财务等部门，提升团队服务质量。岗位要求1）物流、外贸、英语、法语等相关专业；2）大专以上学历，英语水平良好，熟练使用办公软件，懂法语的优先考虑；3）工作认真、细致周到、思路清晰；4）必须具有强烈的责任心，遇事不推诿，勇于担当；具备团队价值观念。工作时间9:00~17:30</v>
      </c>
      <c r="G47" t="str">
        <f>INDEX(_xlfn._xlws.FILTER(报名明细!$I:$I,报名明细!$B:$B=$C47),2)</f>
        <v>商务助理实习生（学历：大专 专业要求：无）</v>
      </c>
      <c r="H47" t="str">
        <f>INDEX(_xlfn._xlws.FILTER(报名明细!$L:$L,报名明细!$B:$B=$C47),2)</f>
        <v>l协助商务经理处理日常询价和舱位审批；l实时收集和反馈市场行情、舱位状况和箱源动态；l及时向销售部门推荐优势运价和船公司优惠活动；l完成日常运价数据录入，维护公司销售系统基础数据库；l参与商务洽谈，完成商务经理安排的其他工作。岗位要求1）物流、外贸、英语、法语、商务管理等相关专业的应届毕业生，形象气质佳；2）大专以上学历，英语四级以上，口语良好，书面能力强，懂法语的优先考虑；3）工作踏实勤恳、态度端正；处事灵活，思维敏捷；4）善于沟通、喜欢交际。</v>
      </c>
      <c r="I47" t="str">
        <f>INDEX(_xlfn._xlws.FILTER(报名明细!$I:$I,报名明细!$B:$B=$C47),3)</f>
        <v>货代销售（学历：大专 专业要求：无）</v>
      </c>
      <c r="J47" t="str">
        <f>INDEX(_xlfn._xlws.FILTER(报名明细!$L:$L,报名明细!$B:$B=$C47),3)</f>
        <v>工作职责：1.主要负责国内市场开发，完成个人业绩；2.基于公司管理系统，为客户提供配箱、绑扎和运输方案；3.陪同客户到工厂、仓库、码头等现场协调装柜/装船，审查装柜/装船和绑扎质量；4.定期拜访客户，充分了解客户需求，手机客服反馈信息，提升公司服务品质；5.跟踪订单进展和操作环节，及时应对客户意见和订单异常情况。岗位要求1）大专以上学历，英语水平良好，熟练使用办公软件；2）具备责任心及抗打击能力，拥有良好的沟通、组织协调能力，注重团队合作精神；3）能适应长途/短途出差。</v>
      </c>
    </row>
    <row r="48" spans="1:10">
      <c r="A48" t="str">
        <f>_xlfn.XLOOKUP(C48,展区展位!A:A,展区展位!B:B)</f>
        <v>C汽车/服装/贸易</v>
      </c>
      <c r="B48" t="str">
        <f>_xlfn.XLOOKUP(C48,展区展位!A:A,展区展位!C:C)</f>
        <v>C06</v>
      </c>
      <c r="C48" s="3" t="s">
        <v>833</v>
      </c>
      <c r="D48" t="str">
        <f>_xlfn.XLOOKUP(C48,企业简介提取!B:B,企业简介提取!F:F)</f>
        <v>蔚来是一家全球化的智能电动汽车公司，于2014年11月25日正式成立。
蔚来致力于通过提供高性能的智能电动汽车与极致用户体验，为用户创造愉悦的生活方式。蔚来在上海、合肥、北京、南京、圣何塞、慕尼黑、牛津及奥斯陆等全球多地设立研发、生产、销售及服务机构；在中国市场初步建立覆盖全国的用户服务体系；2021年开始进入全球市场。
2015年，蔚来车队获得国际汽联电动方程式锦标赛历史上首个车手总冠军；201……</v>
      </c>
      <c r="E48" t="str">
        <f>INDEX(_xlfn._xlws.FILTER(报名明细!$I:$I,报名明细!$B:$B=$C48),1)</f>
        <v>校招-工程师，电子硬件开发（硬件集成开发）（学历：博士 专业要求：无）</v>
      </c>
      <c r="F48" t="str">
        <f>INDEX(_xlfn._xlws.FILTER(报名明细!$L:$L,报名明细!$B:$B=$C48),1)</f>
        <v>工作内容1参与车载大功率电机控制器的硬件设计；2.参与各种功率等级电源的硬件调试；3.参与电子器件评估、功能电路设计调试、磁性器件的设计与仿真；4负责功率电子产品的测试与调试；5.负责技术文件归档、BOM制作、技术问题的调查与解决；任职要求1.研究生以上学历，电子类、电力电子、自动控制、电气自动化专业；2.有扎实的电力电子基础，熟悉常用电源拓扑电路和电驱动逆变器拓扑；3.动手能力强，熟悉电子测试仪器.示波器、信号发生器、万用表、电子负载等；4.积极主动，乐于团队合作，善于分析解决问题；5敢于承担任务，具有奋斗精神。</v>
      </c>
      <c r="G48" t="str">
        <f>INDEX(_xlfn._xlws.FILTER(报名明细!$I:$I,报名明细!$B:$B=$C48),2)</f>
        <v>校招-工程师，电子硬件开发（电源开发）（学历：硕士 专业要求：无）</v>
      </c>
      <c r="H48" t="str">
        <f>INDEX(_xlfn._xlws.FILTER(报名明细!$L:$L,报名明细!$B:$B=$C48),2)</f>
        <v>工作内容1.负责车载电力电子功率变换产品的硬件开发设计工作，例如OBC,800/12，400/12，800/48，48/12，EFUSE等各种电压平台的功率变换和保护产品2.在项目中完成硬件相关交付物，同时保证开发节点匹配项目计划，例如硬件架构，各电路功能模块的详细设计，WCA分析，寿命可靠性分析，硬件相关功能安全目标的落地，电路调试，debug等测试验证工作3.与相关部门（机械设计，软件，测试，CE，质量与工厂）以及供应商紧密协作，以满足项目要求任职要求1.硕士及以上学历，电子技术/电气工程/电力电子与电力传动等相关方向2.熟悉常用的电路仿真软件，比如LTSPICE等3.熟悉常用的开发调试工具设备，比如示波器，电子源载等3.团队协调沟通能力强，乐于钻研技术，能适应快节奏开发环境，乐于接受学习新技术，乐于接受有挑战性的任务</v>
      </c>
      <c r="I48" t="str">
        <f>INDEX(_xlfn._xlws.FILTER(报名明细!$I:$I,报名明细!$B:$B=$C48),3)</f>
        <v>校招-工程师，电子硬件开发（硬件平台开发）（学历：硕士 专业要求：无）</v>
      </c>
      <c r="J48" t="str">
        <f>INDEX(_xlfn._xlws.FILTER(报名明细!$L:$L,报名明细!$B:$B=$C48),3)</f>
        <v>工作内容1.负责电力电子变换器/电机控制器的硬件开发工作；2.负责硬件电路模块的设计，包括功率模块(IGBT/SiC)驱动电路详细设计，驱动电源（flyback/LLC等）的详细设计，以及其他硬件电路模块的详细设计等；3.负责功率模块（IGBT/SiC)的选型评估，结合仿真及测试结果给出功率模块的能力边界；4.负责硬件电路模块的最坏情况分析（WCCA)，基于分析结果给出结论性判断，如不满足要求，需提出改善方案或给出风险评估；5.负责组织与供应商的技术交流，如芯片问题调查的讨论，前瞻技术的讨论等；6.负责硬件电路模块的问题调查，或支持项目完成相关硬件问题调查，对于重大问题需提供8D分析报告；7.项目中对硬件详细设计方案负责，以满足成本，性能以及可靠性等指标任职要求1.研究生学历，电子技术/电气工程/电力电子与电力传动/电机与电器等相关方向；2.熟悉电力电子相关设计开发工作，如功率模块（IGBT/SiC)的选型评估，驱动电路的选型设计,驱动电源的设计等；3.具有电力电子的仿真分析能力，熟悉Mathcad、LTspice、Pspice的分析工具，有Worsecasecircuitanalys……</v>
      </c>
    </row>
    <row r="49" spans="1:10">
      <c r="A49" t="str">
        <f>_xlfn.XLOOKUP(C49,展区展位!A:A,展区展位!B:B)</f>
        <v>D教育/传媒/电竞</v>
      </c>
      <c r="B49" t="str">
        <f>_xlfn.XLOOKUP(C49,展区展位!A:A,展区展位!C:C)</f>
        <v>D22</v>
      </c>
      <c r="C49" t="s">
        <v>925</v>
      </c>
      <c r="D49" t="str">
        <f>_xlfn.XLOOKUP(C49,企业简介提取!B:B,企业简介提取!F:F)</f>
        <v>浙江永恒文希传媒有限公司上海分公司成立于2023年04月26日，注册地位于上海市闵行区申旺路18号1幢163,165室，法定代表人为袁炯校。经营范围包括许可项目：广播电视节目制作经营；演出经纪；网络文化经营；音像制品制作。</v>
      </c>
      <c r="E49" t="str">
        <f>INDEX(_xlfn._xlws.FILTER(报名明细!$I:$I,报名明细!$B:$B=$C49),1)</f>
        <v>行政前台（学历：初中及以下 专业要求：无）</v>
      </c>
      <c r="F49" t="str">
        <f>INDEX(_xlfn._xlws.FILTER(报名明细!$L:$L,报名明细!$B:$B=$C49),1)</f>
        <v>1、负责来访人员接待、登记、指引。2、面试人员登记、指引填写应征资料表、带着面试、反应面试结果;3、帮助公司行政管理，包括职场管理、设备管理、办公用品购置、活动组织、保障日常办公须要;4、帮助公司人事管理，包括聘请模块的根底性工作、办理员工入职、离职手续等;5、公司交办的其他事项。</v>
      </c>
      <c r="G49" t="str">
        <f>INDEX(_xlfn._xlws.FILTER(报名明细!$I:$I,报名明细!$B:$B=$C49),2)</f>
        <v>销售接待（学历：初中及以下 专业要求：无）</v>
      </c>
      <c r="H49" t="str">
        <f>INDEX(_xlfn._xlws.FILTER(报名明细!$L:$L,报名明细!$B:$B=$C49),2)</f>
        <v>1、前期:主要与客人进行充分沟通,了解并充分挖掘客户需求,签订意向合同2、筹备:根据客户需求,为客户量身定制拍摄方案,撰写拍摄方案;帮助达人筹备流程、人员安排等筹备工作;帮助达人确定现场布置方案。3、中期:协调驻地执行团队,确保项目按计划有序进行;及时处理项目进行中突发情况。4、后期:执行后与达人沟通满意度等,维护客户关系.任职要求:1、沟通理解能力强,能准确把握达人需求;具有较强的文案写作能力,出色的文字组织能力,写作经验丰富,有丰富的提案经验;有策划案例2、思维逻辑较强,能合理统筹安排人员和物资;3、有良好的应变能力和执行力;4、有高度的敬业精神、工作态度积极主动、乐观;5、有较强的学习能力</v>
      </c>
      <c r="I49" t="str">
        <f>INDEX(_xlfn._xlws.FILTER(报名明细!$I:$I,报名明细!$B:$B=$C49),3)</f>
        <v>新媒体运营（学历：初中及以下 专业要求：无）</v>
      </c>
      <c r="J49" t="str">
        <f>INDEX(_xlfn._xlws.FILTER(报名明细!$L:$L,报名明细!$B:$B=$C49),3)</f>
        <v>工作内容：1、协助主播进行直播，调动直播间气氛且能适时助播；2、配合直播运营制作直播规划及脚本撰写；3、跟进直播互动、维护主播与粉丝关系，解答粉丝问题；4、直播间现场设备调试，对直播呈现效果负责；5、协助公司完成其他相关工作的安排。任职要求：1、样貌端正，形象气质佳，声线较好；2、普通话标准，具有良好的口头表达能力；3、性格活泼，镜头感强，喜欢与人互动交流；4、有直播经验为加分项</v>
      </c>
    </row>
    <row r="50" spans="1:10">
      <c r="A50" t="str">
        <f>_xlfn.XLOOKUP(C50,展区展位!A:A,展区展位!B:B)</f>
        <v>E城市运营与技术服务</v>
      </c>
      <c r="B50" t="str">
        <f>_xlfn.XLOOKUP(C50,展区展位!A:A,展区展位!C:C)</f>
        <v>E11</v>
      </c>
      <c r="C50" t="s">
        <v>977</v>
      </c>
      <c r="D50" t="str">
        <f>_xlfn.XLOOKUP(C50,企业简介提取!B:B,企业简介提取!F:F)</f>
        <v>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v>
      </c>
      <c r="E50" t="str">
        <f>INDEX(_xlfn._xlws.FILTER(报名明细!$I:$I,报名明细!$B:$B=$C50),1)</f>
        <v>人事实习生（学历：本科 专业要求：无）</v>
      </c>
      <c r="F50" t="str">
        <f>INDEX(_xlfn._xlws.FILTER(报名明细!$L:$L,报名明细!$B:$B=$C50),1)</f>
        <v>岗位职责：1、负责EHR系统人员信息管理，确保人员信息准确性；2、负责人员档案收集管理，人员晋升、异动、个人材料资料完成；3、负责公司人员合同、登记、盖章、下发，证书的登记记录；4、完成上级布置的其他工作。岗位要求：1、本科以上，人力资源相关专业均可；2、电脑操作熟练，熟悉office使用；3、有良好的团队合作意识和沟通协调能力，认真踏实；</v>
      </c>
      <c r="G50" t="str">
        <f>INDEX(_xlfn._xlws.FILTER(报名明细!$I:$I,报名明细!$B:$B=$C50),2)</f>
        <v>物业项目实习生（学历：大专 专业要求：无）</v>
      </c>
      <c r="H50" t="str">
        <f>INDEX(_xlfn._xlws.FILTER(报名明细!$L:$L,报名明细!$B:$B=$C50),2)</f>
        <v>岗位职责：1.负责业主日常诉求处理；2.负责小区现场品质监督；3.做好物业管理费催收工作及做好社区文化活动；4.跟进与协调处理业主相关维修问题，实时反馈，尽快予以解决；5.负责物业管理费收费通知单的发放和费用的催缴工作；6.负责收集辖区内用户资料。职位要求：1.要求形象良好，会基本的办公软件操作；2.有较好的沟通能力；3.大专以上学历，管理类相关专业。</v>
      </c>
      <c r="I50" t="str">
        <f>INDEX(_xlfn._xlws.FILTER(报名明细!$I:$I,报名明细!$B:$B=$C50),3)</f>
        <v>工程管理岗（学历：大专 专业要求：无）</v>
      </c>
      <c r="J50" t="str">
        <f>INDEX(_xlfn._xlws.FILTER(报名明细!$L:$L,报名明细!$B:$B=$C50),3)</f>
        <v>大专及以上学历，熟练使用office相关软件，工程相关专业者优先</v>
      </c>
    </row>
    <row r="51" spans="1:10">
      <c r="A51" t="str">
        <f>_xlfn.XLOOKUP(C51,展区展位!A:A,展区展位!B:B)</f>
        <v>A机械/制造/能源</v>
      </c>
      <c r="B51" t="str">
        <f>_xlfn.XLOOKUP(C51,展区展位!A:A,展区展位!C:C)</f>
        <v>A04</v>
      </c>
      <c r="C51" t="s">
        <v>1010</v>
      </c>
      <c r="D51" t="str">
        <f>_xlfn.XLOOKUP(C51,企业简介提取!B:B,企业简介提取!F:F)</f>
        <v>上海卫星装备研究所，是八院卫星总装试验基地、八院空间环境模拟与试验技术研发中心和上海市空间环境模拟与验证工程技术研究中心。承担卫星总装集成、航天器环境试验技术研究及相关设备与产品的研制任务，是我国“风云系列”气象卫星等系列卫星的系统级集成与试验单位，是我国大型航天器AIT中心。建有国际一流的航天器AIT总装总测厂房和上海市力学、真空、磁、定标等空间环境模拟实验室，并取得CNAS实验室认证。拥有KM……</v>
      </c>
      <c r="E51" t="str">
        <f>INDEX(_xlfn._xlws.FILTER(报名明细!$I:$I,报名明细!$B:$B=$C51),1)</f>
        <v>工程师（学历：本科 专业要求：机械设计制造类,控制科学与工程,测试计量技术及仪器,自动化）</v>
      </c>
      <c r="F51" t="str">
        <f>INDEX(_xlfn._xlws.FILTER(报名明细!$L:$L,报名明细!$B:$B=$C51),1)</f>
        <v>任职资格：1、机械/机械电子/控制/仪器仪表/自动化等相关专业2、大学本科3、熟练掌握AutoCAD、Pro/E、ADAMS、ANSYS等绘图、仿真、计算软件；5、具有较强的组织、表达、写作能力。</v>
      </c>
      <c r="G51" t="str">
        <f>INDEX(_xlfn._xlws.FILTER(报名明细!$I:$I,报名明细!$B:$B=$C51),2)</f>
        <v>智能热试验技术专业工程师（学历：硕士 专业要求：动力工程及工程热物理）</v>
      </c>
      <c r="H51" t="str">
        <f>INDEX(_xlfn._xlws.FILTER(报名明细!$L:$L,报名明细!$B:$B=$C51),2)</f>
        <v>工作职责1、跟踪航天器热试验技术新动态，开展空间环境试验前沿技术的研究和相关产品的研发；2、负责相关预研课题的申报、研究；3、国军标、院标、所标的申请与编写；4、参与技改论证。任职资格1、工程热物理专业背景；2、熟悉航天器热设计理论专业知识；3、熟悉相关专业软件；4、具有较强的组织、表达、写作能力。</v>
      </c>
      <c r="I51" t="str">
        <f>INDEX(_xlfn._xlws.FILTER(报名明细!$I:$I,报名明细!$B:$B=$C51),3)</f>
        <v>专业工程师（控制、力学、热控、结构、数字化）（学历：硕士 专业要求：机械类,控制科学与工程,动力工程及工程热物理,工程力学）</v>
      </c>
      <c r="J51" t="str">
        <f>INDEX(_xlfn._xlws.FILTER(报名明细!$L:$L,报名明细!$B:$B=$C51),3)</f>
        <v>岗位职责：1、负责跟踪卫星研制领域结构机构、控制系统、热控设计、热试验、先进装备、生产线等技术工作；2、开展包装箱、两轴转台等大型非标装备专业技术研究，大型装备技术方案的编制、论证、投产工作；3、负责生产线建设规划、论证、课题申报、具体建设工作；4、负责生产线技术体系构建和攻关、工艺设备技术体系构建、对外配套服务及技术支持。任职要求：1、机械类、工程热物理类、控制类、力学，智能制造相关专业；2、有相关专业领域工程项目研制经验者优先；3、熟练掌握AutoCAD、Pro/E、ADAMS、ANSYS等绘图、仿真、计算软件；4、具有较强的组织、表达、写作能力。</v>
      </c>
    </row>
    <row r="52" spans="1:10">
      <c r="A52" t="str">
        <f>_xlfn.XLOOKUP(C52,展区展位!A:A,展区展位!B:B)</f>
        <v>A机械/制造/能源</v>
      </c>
      <c r="B52" t="str">
        <f>_xlfn.XLOOKUP(C52,展区展位!A:A,展区展位!C:C)</f>
        <v>A12</v>
      </c>
      <c r="C52" t="s">
        <v>1054</v>
      </c>
      <c r="D52" t="str">
        <f>_xlfn.XLOOKUP(C52,企业简介提取!B:B,企业简介提取!F:F)</f>
        <v>上海汽轮机厂命名于1953年，是国家装备制造业大型重点骨干企业，是国内最早建成的汽轮机设计制造基地，是中国汽轮机的摇篮。
  经过60多年的建设发展，我们现已形成了由上海汽轮机厂有限公司、上海电气电站设备有限公司上海汽轮机厂和上海电气燃气轮机有限公司等多家企业构成的核心制造能力超过3000万千瓦的汽轮机、燃气轮机产业群。通过新一轮的产业规划，我们的业务覆盖了火电、核电、燃气轮机、联合循环汽轮机、工……</v>
      </c>
      <c r="E52" t="str">
        <f>INDEX(_xlfn._xlws.FILTER(报名明细!$I:$I,报名明细!$B:$B=$C52),1)</f>
        <v>数控操作工/钳工/质量检验/现场检修/电厂技术服务/行车司机/起重工（学历：中专/技校 专业要求：无）</v>
      </c>
      <c r="F52" t="str">
        <f>INDEX(_xlfn._xlws.FILTER(报名明细!$L:$L,报名明细!$B:$B=$C52),1)</f>
        <v>【用人态度】给想干事的人以机会，给能干事的人以舞台，给干成事的人以激励。【职业发展】学徒工-技能工-技能高手-技能专家-上汽工匠（配套的培训及激励措施）。【数控操作工】机电类\机械类\数控类\汽车类相关专业【钳工】机电类\电气类\钳工类\装配等相关专业【质量检验】机电类\机械类\装配等相关专业【现场检修】机电类\电气类\钳工类\装配等相关专业【电厂技术服务】机电类\电气类\钳工类\装配等相关专业【行车司机、起重工】不限专业（安排参加职业培训）具有中级以上技能等级者优先</v>
      </c>
      <c r="G52" t="str">
        <f>INDEX(_xlfn._xlws.FILTER(报名明细!$I:$I,报名明细!$B:$B=$C52),2)</f>
        <v>数字算法工程师（学历：本科 专业要求：机械设计制造及其自动化,电气工程及其自动化,自动化,机械工程,机械电子工程,机械制造及其自动化,动力机械及工程,流体机械及工程,计算机科学与技术,数学类）</v>
      </c>
      <c r="H52" t="str">
        <f>INDEX(_xlfn._xlws.FILTER(报名明细!$L:$L,报名明细!$B:$B=$C52),2)</f>
        <v>数字算法工程师：1.将专业知识、标准、规范、数据等转化为算法定义文档或算法功能模块。2.理解工业数字化项目或产品需求，构建知识规则、机理模型或数据算法模型并以此提出解决策略，完成算法功能设计、实现和功能测试，对接开发人员并配合联调。3.对工业产品的全生命周期的数据管理，规范业务端数据属性和流程，通过数据治理、挖掘、分析、可视化等手段实现支持设计、生产、运营能力的监管、优化、诊断等需求。4.强算法类产品的调研、定义和研发</v>
      </c>
      <c r="I52" t="str">
        <f>INDEX(_xlfn._xlws.FILTER(报名明细!$I:$I,报名明细!$B:$B=$C52),3)</f>
        <v>工业燃机研发工程师（学历：本科 专业要求：机械,机械类,机械设计制造类,能源动力类,能源动力,航空航天工程,航空航天类,飞行器设计与工程,飞行器制造工程,飞行器动力工程）</v>
      </c>
      <c r="J52" t="str">
        <f>INDEX(_xlfn._xlws.FILTER(报名明细!$L:$L,报名明细!$B:$B=$C52),3)</f>
        <v>工业燃机研发工程师：1.燃气轮机材料（包括高温合金、陶瓷基复合材料、热障涂层等）开发及性能分析2.燃烧流场计算分析、热声计算分析3.燃气轮机二次空气系统流路设计、分析，燃机密封部件设计和性能分析，机组热载荷分析及转子轴向推力设计分析4.机组总体热力方案设计、整机性能匹配分析，机组稳态热力分析、动态仿真模型开发及分析</v>
      </c>
    </row>
    <row r="53" spans="1:10">
      <c r="A53" t="str">
        <f>_xlfn.XLOOKUP(C53,展区展位!A:A,展区展位!B:B)</f>
        <v>C汽车/服装/贸易</v>
      </c>
      <c r="B53" t="str">
        <f>_xlfn.XLOOKUP(C53,展区展位!A:A,展区展位!C:C)</f>
        <v>C02</v>
      </c>
      <c r="C53" t="s">
        <v>1080</v>
      </c>
      <c r="D53" t="str">
        <f>_xlfn.XLOOKUP(C53,企业简介提取!B:B,企业简介提取!F:F)</f>
        <v>延锋是国际领先的汽车零部件供应商，专注于汽车内外饰、汽车座椅、座舱电子及被动安全领域，为全球客户提供全方位服务。同时聚焦智能座舱与轻量化技术，助力汽车制造商探索高级别驾乘场景下的智能化水平，并提供灵活可持续的产品解决方案。目前，延锋在全球20个国家已有超过建有240多个分支机构，约56,000名员工。							
延锋国际技术中心是延锋集团的核心职能部门，目前全球人数5000多人，总部在上海，在……</v>
      </c>
      <c r="E53" t="str">
        <f>INDEX(_xlfn._xlws.FILTER(报名明细!$I:$I,报名明细!$B:$B=$C53),1)</f>
        <v>财务文员（学历：本科 专业要求：无）</v>
      </c>
      <c r="F53" t="str">
        <f>INDEX(_xlfn._xlws.FILTER(报名明细!$L:$L,报名明细!$B:$B=$C53),1)</f>
        <v>工作职责:1.负责财务共享中心若干工厂的应收款项相关业务的审核以及入账2.定期联系跟踪逾期应收款项回款进度，编制月度科目余额调节表3.定期与客户核对发票及收款账务，反馈差异并跟踪解决4.负责配合工厂分析，总账及审计提供相关统计报表及凭证基本要求：1.学历不限，大专及以上优先，2.优先财经类专业毕业3.具备良好的沟通表达能力4.品行端正5.英语沟通能力良好或具相关工作经验的申请者优先考虑6.基本的office办公自动化能力</v>
      </c>
      <c r="G53" t="str">
        <f>INDEX(_xlfn._xlws.FILTER(报名明细!$I:$I,报名明细!$B:$B=$C53),2)</f>
        <v>宣传文员（学历：本科 专业要求：无）</v>
      </c>
      <c r="H53" t="str">
        <f>INDEX(_xlfn._xlws.FILTER(报名明细!$L:$L,报名明细!$B:$B=$C53),2)</f>
        <v>岗位职责：1.参与企业微信号的日常运营工作。日常新闻稿的采、编，与基层宣传员的沟通，了解相关信息。2.负责企业文化工作推进，能策划、组织各类员工活动、文化活动。3.企业新闻、活动的摄影摄像，并进行视频编辑。4.能贯彻执行上级单位、本公司布置的各类工作。任职要求：1.有良好的文字功底。2.有较强的策划、组织各类型会议、企业文化活动的能力。3.有视频剪辑、绘图功底，会使用PR、PS、美图秀秀等设计软件；熟练运用办公软件。4.吃苦耐劳，执行力强，责任心强、服务意识，工作效率高；乐于沟通、乐于助人，具有积极的工作态度，有良好的团队精神和服务意识。</v>
      </c>
      <c r="I53" t="str">
        <f>INDEX(_xlfn._xlws.FILTER(报名明细!$I:$I,报名明细!$B:$B=$C53),3)</f>
        <v>产品设计工程师（内饰/安全/座椅）（学历：本科 专业要求：无）</v>
      </c>
      <c r="J53" t="str">
        <f>INDEX(_xlfn._xlws.FILTER(报名明细!$L:$L,报名明细!$B:$B=$C53),3)</f>
        <v>主要任务和职责1.根据产品投产系统（PLUS）以及客户产品开发程序的要求，按时保质地进行产品开发。2.制定和优化设计方案，选择正确.合适的零部件和材料，力求在保证功能.外观要求的情况下成本最低；掌握项目工程开发费用的使用。3.完成产品数据.图纸和材料清单（BOM）表等工程技术文件。4.协助处理客户提出的问题并参与解决。5.负责协调样品制造，客户交样和文件准备。6.组织或参与各类工程会议，并落实和跟踪行动计划。7.及时总结座椅开发过程中发生的问题和经验。8.与供应商和部门工厂联系，提供技术支持。基本条件1.2022年应届毕业生（包含海外留学生）2.全国重点院校本科及以上学历；3.CET-4或其他同等级英语能力证书，听说读写流利；4.会德语.法语.日语.韩语者优先考虑；5.成绩优秀，有奖学金者优先考虑；6.有学生会工作及社会实践经历者优先考虑。</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workbookViewId="0">
      <selection activeCell="A1" sqref="A1:G25"/>
    </sheetView>
  </sheetViews>
  <sheetFormatPr defaultColWidth="9.02727272727273" defaultRowHeight="14.5" outlineLevelCol="6"/>
  <cols>
    <col min="1" max="16384" width="9.02727272727273" style="1"/>
  </cols>
  <sheetData>
    <row r="1" spans="1:7">
      <c r="A1" s="1" t="s">
        <v>1147</v>
      </c>
      <c r="B1" s="1" t="s">
        <v>1381</v>
      </c>
      <c r="C1" s="1" t="s">
        <v>1382</v>
      </c>
      <c r="D1" s="1" t="s">
        <v>1383</v>
      </c>
      <c r="E1" s="1" t="s">
        <v>1384</v>
      </c>
      <c r="F1" s="1" t="s">
        <v>1396</v>
      </c>
      <c r="G1" s="1" t="s">
        <v>1397</v>
      </c>
    </row>
    <row r="2" spans="1:7">
      <c r="A2" s="1" t="s">
        <v>1217</v>
      </c>
      <c r="B2" s="1" t="s">
        <v>31</v>
      </c>
      <c r="C2" s="1" t="s">
        <v>1400</v>
      </c>
      <c r="D2" s="1" t="s">
        <v>1401</v>
      </c>
      <c r="E2" s="1" t="s">
        <v>35</v>
      </c>
      <c r="F2" s="1" t="s">
        <v>1402</v>
      </c>
      <c r="G2" s="1" t="s">
        <v>35</v>
      </c>
    </row>
    <row r="3" spans="1:7">
      <c r="A3" s="1" t="s">
        <v>1236</v>
      </c>
      <c r="B3" s="1" t="s">
        <v>51</v>
      </c>
      <c r="C3" s="1" t="s">
        <v>52</v>
      </c>
      <c r="D3" s="1" t="s">
        <v>1403</v>
      </c>
      <c r="E3" s="1" t="s">
        <v>1404</v>
      </c>
      <c r="F3" s="1" t="s">
        <v>1405</v>
      </c>
      <c r="G3" s="1" t="s">
        <v>1406</v>
      </c>
    </row>
    <row r="4" spans="1:7">
      <c r="A4" s="1" t="s">
        <v>1266</v>
      </c>
      <c r="B4" s="1" t="s">
        <v>93</v>
      </c>
      <c r="C4" s="1" t="s">
        <v>1407</v>
      </c>
      <c r="D4" s="1" t="s">
        <v>1408</v>
      </c>
      <c r="E4" s="1" t="s">
        <v>96</v>
      </c>
      <c r="F4" s="1" t="s">
        <v>1409</v>
      </c>
      <c r="G4" s="1" t="s">
        <v>99</v>
      </c>
    </row>
    <row r="5" spans="1:7">
      <c r="A5" s="1" t="s">
        <v>1280</v>
      </c>
      <c r="B5" s="1" t="s">
        <v>114</v>
      </c>
      <c r="C5" s="1" t="s">
        <v>1410</v>
      </c>
      <c r="D5" s="1" t="s">
        <v>1411</v>
      </c>
      <c r="E5" s="1" t="s">
        <v>117</v>
      </c>
      <c r="F5" s="1" t="s">
        <v>1412</v>
      </c>
      <c r="G5" s="1" t="s">
        <v>1413</v>
      </c>
    </row>
    <row r="6" spans="1:7">
      <c r="A6" s="1" t="s">
        <v>1178</v>
      </c>
      <c r="B6" s="1" t="s">
        <v>121</v>
      </c>
      <c r="C6" s="1" t="s">
        <v>1414</v>
      </c>
      <c r="D6" s="1" t="s">
        <v>1415</v>
      </c>
      <c r="E6" s="1" t="s">
        <v>124</v>
      </c>
      <c r="F6" s="1" t="s">
        <v>1416</v>
      </c>
      <c r="G6" s="1" t="s">
        <v>134</v>
      </c>
    </row>
    <row r="7" spans="1:7">
      <c r="A7" s="1" t="s">
        <v>1219</v>
      </c>
      <c r="B7" s="1" t="s">
        <v>141</v>
      </c>
      <c r="C7" s="1" t="s">
        <v>142</v>
      </c>
      <c r="D7" s="1" t="s">
        <v>1417</v>
      </c>
      <c r="E7" s="1" t="s">
        <v>1418</v>
      </c>
      <c r="F7" s="1" t="s">
        <v>1419</v>
      </c>
      <c r="G7" s="1" t="s">
        <v>440</v>
      </c>
    </row>
    <row r="8" spans="1:7">
      <c r="A8" s="1" t="s">
        <v>1265</v>
      </c>
      <c r="B8" s="1" t="s">
        <v>155</v>
      </c>
      <c r="C8" s="1" t="s">
        <v>1420</v>
      </c>
      <c r="D8" s="1" t="s">
        <v>1421</v>
      </c>
      <c r="E8" s="1" t="s">
        <v>158</v>
      </c>
      <c r="F8" s="1" t="s">
        <v>1422</v>
      </c>
      <c r="G8" s="1" t="s">
        <v>1423</v>
      </c>
    </row>
    <row r="9" spans="1:7">
      <c r="A9" s="1" t="s">
        <v>1192</v>
      </c>
      <c r="B9" s="1" t="s">
        <v>162</v>
      </c>
      <c r="C9" s="1" t="s">
        <v>1424</v>
      </c>
      <c r="D9" s="1" t="s">
        <v>1425</v>
      </c>
      <c r="E9" s="1" t="s">
        <v>165</v>
      </c>
      <c r="F9" s="1" t="s">
        <v>1426</v>
      </c>
      <c r="G9" s="1" t="s">
        <v>171</v>
      </c>
    </row>
    <row r="10" spans="1:7">
      <c r="A10" s="1" t="s">
        <v>1174</v>
      </c>
      <c r="B10" s="1" t="s">
        <v>238</v>
      </c>
      <c r="C10" s="1" t="s">
        <v>1427</v>
      </c>
      <c r="D10" s="1" t="s">
        <v>1428</v>
      </c>
      <c r="E10" s="1" t="s">
        <v>241</v>
      </c>
      <c r="F10" s="1" t="s">
        <v>1429</v>
      </c>
      <c r="G10" s="1" t="s">
        <v>1430</v>
      </c>
    </row>
    <row r="11" spans="1:7">
      <c r="A11" s="1" t="s">
        <v>1274</v>
      </c>
      <c r="B11" s="1" t="s">
        <v>282</v>
      </c>
      <c r="C11" s="1" t="s">
        <v>283</v>
      </c>
      <c r="D11" s="1" t="s">
        <v>1431</v>
      </c>
      <c r="E11" s="1" t="s">
        <v>285</v>
      </c>
      <c r="F11" s="1" t="s">
        <v>1432</v>
      </c>
      <c r="G11" s="1" t="s">
        <v>1059</v>
      </c>
    </row>
    <row r="12" spans="1:7">
      <c r="A12" s="1" t="s">
        <v>1186</v>
      </c>
      <c r="B12" s="1" t="s">
        <v>286</v>
      </c>
      <c r="C12" s="1" t="s">
        <v>1433</v>
      </c>
      <c r="D12" s="1" t="s">
        <v>1434</v>
      </c>
      <c r="E12" s="1" t="s">
        <v>289</v>
      </c>
      <c r="F12" s="1" t="s">
        <v>1435</v>
      </c>
      <c r="G12" s="1" t="s">
        <v>293</v>
      </c>
    </row>
    <row r="13" spans="1:7">
      <c r="A13" s="1" t="s">
        <v>1273</v>
      </c>
      <c r="B13" s="1" t="s">
        <v>347</v>
      </c>
      <c r="C13" s="1" t="s">
        <v>1436</v>
      </c>
      <c r="D13" s="1" t="s">
        <v>1437</v>
      </c>
      <c r="E13" s="1" t="s">
        <v>350</v>
      </c>
      <c r="F13" s="1" t="s">
        <v>1438</v>
      </c>
      <c r="G13" s="1" t="s">
        <v>1107</v>
      </c>
    </row>
    <row r="14" spans="1:7">
      <c r="A14" s="1" t="s">
        <v>1267</v>
      </c>
      <c r="B14" s="1" t="s">
        <v>392</v>
      </c>
      <c r="C14" s="1" t="s">
        <v>1439</v>
      </c>
      <c r="D14" s="1" t="s">
        <v>1440</v>
      </c>
      <c r="E14" s="1" t="s">
        <v>395</v>
      </c>
      <c r="F14" s="1" t="s">
        <v>1441</v>
      </c>
      <c r="G14" s="1" t="s">
        <v>395</v>
      </c>
    </row>
    <row r="15" spans="1:7">
      <c r="A15" s="1" t="s">
        <v>1155</v>
      </c>
      <c r="B15" s="1" t="s">
        <v>459</v>
      </c>
      <c r="C15" s="1" t="s">
        <v>1442</v>
      </c>
      <c r="D15" s="1" t="s">
        <v>1443</v>
      </c>
      <c r="E15" s="1" t="s">
        <v>462</v>
      </c>
      <c r="F15" s="1" t="s">
        <v>1444</v>
      </c>
      <c r="G15" s="1" t="s">
        <v>642</v>
      </c>
    </row>
    <row r="16" spans="1:7">
      <c r="A16" s="1" t="s">
        <v>1151</v>
      </c>
      <c r="B16" s="1" t="s">
        <v>474</v>
      </c>
      <c r="C16" s="1" t="s">
        <v>1445</v>
      </c>
      <c r="D16" s="1" t="s">
        <v>1446</v>
      </c>
      <c r="E16" s="1" t="s">
        <v>477</v>
      </c>
      <c r="F16" s="1" t="s">
        <v>1447</v>
      </c>
      <c r="G16" s="1" t="s">
        <v>1096</v>
      </c>
    </row>
    <row r="17" spans="1:7">
      <c r="A17" s="1" t="s">
        <v>1244</v>
      </c>
      <c r="B17" s="1" t="s">
        <v>485</v>
      </c>
      <c r="C17" s="1" t="s">
        <v>1448</v>
      </c>
      <c r="D17" s="1" t="s">
        <v>1449</v>
      </c>
      <c r="E17" s="1" t="s">
        <v>1450</v>
      </c>
      <c r="F17" s="1" t="s">
        <v>1451</v>
      </c>
      <c r="G17" s="1" t="s">
        <v>1452</v>
      </c>
    </row>
    <row r="18" spans="1:7">
      <c r="A18" s="1" t="s">
        <v>1277</v>
      </c>
      <c r="B18" s="1" t="s">
        <v>505</v>
      </c>
      <c r="C18" s="1" t="s">
        <v>506</v>
      </c>
      <c r="D18" s="1" t="s">
        <v>1453</v>
      </c>
      <c r="E18" s="1" t="s">
        <v>508</v>
      </c>
      <c r="F18" s="1" t="s">
        <v>1454</v>
      </c>
      <c r="G18" s="1" t="s">
        <v>511</v>
      </c>
    </row>
    <row r="19" spans="1:7">
      <c r="A19" s="1" t="s">
        <v>1222</v>
      </c>
      <c r="B19" s="1" t="s">
        <v>553</v>
      </c>
      <c r="C19" s="1" t="s">
        <v>554</v>
      </c>
      <c r="D19" s="1" t="s">
        <v>1455</v>
      </c>
      <c r="E19" s="1" t="s">
        <v>556</v>
      </c>
      <c r="F19" s="1" t="s">
        <v>1456</v>
      </c>
      <c r="G19" s="1" t="s">
        <v>1121</v>
      </c>
    </row>
    <row r="20" spans="1:7">
      <c r="A20" s="1" t="s">
        <v>1182</v>
      </c>
      <c r="B20" s="1" t="s">
        <v>656</v>
      </c>
      <c r="C20" s="1" t="s">
        <v>1457</v>
      </c>
      <c r="D20" s="1" t="s">
        <v>1458</v>
      </c>
      <c r="E20" s="1" t="s">
        <v>659</v>
      </c>
      <c r="F20" s="1" t="s">
        <v>1459</v>
      </c>
      <c r="G20" s="1" t="s">
        <v>816</v>
      </c>
    </row>
    <row r="21" spans="1:7">
      <c r="A21" s="1" t="s">
        <v>1195</v>
      </c>
      <c r="B21" s="1" t="s">
        <v>674</v>
      </c>
      <c r="C21" s="1" t="s">
        <v>675</v>
      </c>
      <c r="D21" s="1" t="s">
        <v>1460</v>
      </c>
      <c r="E21" s="1" t="s">
        <v>677</v>
      </c>
      <c r="F21" s="1" t="s">
        <v>1461</v>
      </c>
      <c r="G21" s="1" t="s">
        <v>679</v>
      </c>
    </row>
    <row r="22" spans="1:7">
      <c r="A22" s="1" t="s">
        <v>1276</v>
      </c>
      <c r="B22" s="1" t="s">
        <v>687</v>
      </c>
      <c r="C22" s="1" t="s">
        <v>1462</v>
      </c>
      <c r="D22" s="1" t="s">
        <v>1463</v>
      </c>
      <c r="E22" s="1" t="s">
        <v>690</v>
      </c>
      <c r="F22" s="1" t="s">
        <v>1464</v>
      </c>
      <c r="G22" s="1" t="s">
        <v>1049</v>
      </c>
    </row>
    <row r="23" spans="1:7">
      <c r="A23" s="1" t="s">
        <v>1165</v>
      </c>
      <c r="B23" s="1" t="s">
        <v>691</v>
      </c>
      <c r="C23" s="1" t="s">
        <v>1465</v>
      </c>
      <c r="D23" s="1" t="s">
        <v>1466</v>
      </c>
      <c r="E23" s="1" t="s">
        <v>694</v>
      </c>
      <c r="F23" s="1" t="s">
        <v>1467</v>
      </c>
      <c r="G23" s="1" t="s">
        <v>697</v>
      </c>
    </row>
    <row r="24" spans="1:7">
      <c r="A24" s="1" t="s">
        <v>1202</v>
      </c>
      <c r="B24" s="1" t="s">
        <v>773</v>
      </c>
      <c r="C24" s="1" t="s">
        <v>1468</v>
      </c>
      <c r="D24" s="1" t="s">
        <v>1469</v>
      </c>
      <c r="E24" s="1" t="s">
        <v>776</v>
      </c>
      <c r="F24" s="1" t="s">
        <v>1470</v>
      </c>
      <c r="G24" s="1" t="s">
        <v>1471</v>
      </c>
    </row>
    <row r="25" spans="1:7">
      <c r="A25" s="1" t="s">
        <v>1154</v>
      </c>
      <c r="B25" s="1" t="s">
        <v>1035</v>
      </c>
      <c r="C25" s="1" t="s">
        <v>1472</v>
      </c>
      <c r="D25" s="1" t="s">
        <v>1473</v>
      </c>
      <c r="E25" s="1" t="s">
        <v>1038</v>
      </c>
      <c r="F25" s="1" t="s">
        <v>1474</v>
      </c>
      <c r="G25" s="1" t="s">
        <v>1041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
  <sheetViews>
    <sheetView topLeftCell="A29" workbookViewId="0">
      <selection activeCell="A1" sqref="A1:I53"/>
    </sheetView>
  </sheetViews>
  <sheetFormatPr defaultColWidth="9.02727272727273" defaultRowHeight="14.5"/>
  <cols>
    <col min="1" max="16384" width="9.02727272727273" style="1"/>
  </cols>
  <sheetData>
    <row r="1" spans="1:9">
      <c r="A1" s="1" t="s">
        <v>1147</v>
      </c>
      <c r="B1" s="1" t="s">
        <v>1381</v>
      </c>
      <c r="C1" s="1" t="s">
        <v>1382</v>
      </c>
      <c r="D1" s="1" t="s">
        <v>1383</v>
      </c>
      <c r="E1" s="1" t="s">
        <v>1384</v>
      </c>
      <c r="F1" s="1" t="s">
        <v>1396</v>
      </c>
      <c r="G1" s="1" t="s">
        <v>1397</v>
      </c>
      <c r="H1" s="1" t="s">
        <v>1398</v>
      </c>
      <c r="I1" s="1" t="s">
        <v>1399</v>
      </c>
    </row>
    <row r="2" spans="1:9">
      <c r="A2" s="1" t="s">
        <v>1177</v>
      </c>
      <c r="B2" s="1" t="s">
        <v>15</v>
      </c>
      <c r="C2" s="1" t="s">
        <v>16</v>
      </c>
      <c r="D2" s="1" t="s">
        <v>1475</v>
      </c>
      <c r="E2" s="1" t="s">
        <v>19</v>
      </c>
      <c r="F2" s="1" t="s">
        <v>1476</v>
      </c>
      <c r="G2" s="1" t="s">
        <v>69</v>
      </c>
      <c r="H2" s="1" t="s">
        <v>1477</v>
      </c>
      <c r="I2" s="1" t="s">
        <v>72</v>
      </c>
    </row>
    <row r="3" spans="1:9">
      <c r="A3" s="1" t="s">
        <v>1196</v>
      </c>
      <c r="B3" s="1" t="s">
        <v>21</v>
      </c>
      <c r="C3" s="1" t="s">
        <v>1478</v>
      </c>
      <c r="D3" s="1" t="s">
        <v>1479</v>
      </c>
      <c r="E3" s="1" t="s">
        <v>24</v>
      </c>
      <c r="F3" s="1" t="s">
        <v>1480</v>
      </c>
      <c r="G3" s="1" t="s">
        <v>28</v>
      </c>
      <c r="H3" s="1" t="s">
        <v>1481</v>
      </c>
      <c r="I3" s="1" t="s">
        <v>1482</v>
      </c>
    </row>
    <row r="4" spans="1:9">
      <c r="A4" s="1" t="s">
        <v>1185</v>
      </c>
      <c r="B4" s="1" t="s">
        <v>58</v>
      </c>
      <c r="C4" s="1" t="s">
        <v>59</v>
      </c>
      <c r="D4" s="1" t="s">
        <v>1483</v>
      </c>
      <c r="E4" s="1" t="s">
        <v>61</v>
      </c>
      <c r="F4" s="1" t="s">
        <v>1484</v>
      </c>
      <c r="G4" s="1" t="s">
        <v>1485</v>
      </c>
      <c r="H4" s="1" t="s">
        <v>1486</v>
      </c>
      <c r="I4" s="1" t="s">
        <v>1487</v>
      </c>
    </row>
    <row r="5" spans="1:9">
      <c r="A5" s="1" t="s">
        <v>1213</v>
      </c>
      <c r="B5" s="1" t="s">
        <v>63</v>
      </c>
      <c r="C5" s="1" t="s">
        <v>1488</v>
      </c>
      <c r="D5" s="1" t="s">
        <v>1489</v>
      </c>
      <c r="E5" s="1" t="s">
        <v>66</v>
      </c>
      <c r="F5" s="1" t="s">
        <v>1490</v>
      </c>
      <c r="G5" s="1" t="s">
        <v>237</v>
      </c>
      <c r="H5" s="1" t="s">
        <v>1491</v>
      </c>
      <c r="I5" s="2" t="s">
        <v>1492</v>
      </c>
    </row>
    <row r="6" spans="1:9">
      <c r="A6" s="1" t="s">
        <v>1255</v>
      </c>
      <c r="B6" s="1" t="s">
        <v>73</v>
      </c>
      <c r="C6" s="1" t="s">
        <v>74</v>
      </c>
      <c r="D6" s="1" t="s">
        <v>1493</v>
      </c>
      <c r="E6" s="1" t="s">
        <v>76</v>
      </c>
      <c r="F6" s="1" t="s">
        <v>1494</v>
      </c>
      <c r="G6" s="1" t="s">
        <v>479</v>
      </c>
      <c r="H6" s="1" t="s">
        <v>1495</v>
      </c>
      <c r="I6" s="1" t="s">
        <v>483</v>
      </c>
    </row>
    <row r="7" spans="1:9">
      <c r="A7" s="1" t="s">
        <v>1237</v>
      </c>
      <c r="B7" s="1" t="s">
        <v>78</v>
      </c>
      <c r="C7" s="1" t="s">
        <v>1496</v>
      </c>
      <c r="D7" s="1" t="s">
        <v>1497</v>
      </c>
      <c r="E7" s="1" t="s">
        <v>81</v>
      </c>
      <c r="F7" s="1" t="s">
        <v>1498</v>
      </c>
      <c r="G7" s="1" t="s">
        <v>769</v>
      </c>
      <c r="H7" s="1" t="s">
        <v>1499</v>
      </c>
      <c r="I7" s="1" t="s">
        <v>934</v>
      </c>
    </row>
    <row r="8" spans="1:9">
      <c r="A8" s="1" t="s">
        <v>1171</v>
      </c>
      <c r="B8" s="1" t="s">
        <v>83</v>
      </c>
      <c r="C8" s="1" t="s">
        <v>1500</v>
      </c>
      <c r="D8" s="1" t="s">
        <v>1501</v>
      </c>
      <c r="E8" s="1" t="s">
        <v>86</v>
      </c>
      <c r="F8" s="1" t="s">
        <v>1502</v>
      </c>
      <c r="G8" s="1" t="s">
        <v>464</v>
      </c>
      <c r="H8" s="1" t="s">
        <v>1503</v>
      </c>
      <c r="I8" s="1" t="s">
        <v>467</v>
      </c>
    </row>
    <row r="9" spans="1:9">
      <c r="A9" s="1" t="s">
        <v>1194</v>
      </c>
      <c r="B9" s="1" t="s">
        <v>100</v>
      </c>
      <c r="C9" s="1" t="s">
        <v>1504</v>
      </c>
      <c r="D9" s="1" t="s">
        <v>1505</v>
      </c>
      <c r="E9" s="1" t="s">
        <v>103</v>
      </c>
      <c r="F9" s="1" t="s">
        <v>1506</v>
      </c>
      <c r="G9" s="1" t="s">
        <v>1507</v>
      </c>
      <c r="H9" s="1" t="s">
        <v>1508</v>
      </c>
      <c r="I9" s="1" t="s">
        <v>710</v>
      </c>
    </row>
    <row r="10" spans="1:9">
      <c r="A10" s="1" t="s">
        <v>1246</v>
      </c>
      <c r="B10" s="1" t="s">
        <v>105</v>
      </c>
      <c r="C10" s="1" t="s">
        <v>1509</v>
      </c>
      <c r="D10" s="1" t="s">
        <v>1510</v>
      </c>
      <c r="E10" s="1" t="s">
        <v>108</v>
      </c>
      <c r="F10" s="1" t="s">
        <v>1511</v>
      </c>
      <c r="G10" s="1" t="s">
        <v>702</v>
      </c>
      <c r="H10" s="1" t="s">
        <v>1512</v>
      </c>
      <c r="I10" s="1" t="s">
        <v>706</v>
      </c>
    </row>
    <row r="11" spans="1:9">
      <c r="A11" s="1" t="s">
        <v>1263</v>
      </c>
      <c r="B11" s="1" t="s">
        <v>109</v>
      </c>
      <c r="C11" s="1" t="s">
        <v>1513</v>
      </c>
      <c r="D11" s="1" t="s">
        <v>1514</v>
      </c>
      <c r="E11" s="1" t="s">
        <v>112</v>
      </c>
      <c r="F11" s="1" t="s">
        <v>1515</v>
      </c>
      <c r="G11" s="1" t="s">
        <v>1516</v>
      </c>
      <c r="H11" s="1" t="s">
        <v>1517</v>
      </c>
      <c r="I11" s="1" t="s">
        <v>1116</v>
      </c>
    </row>
    <row r="12" spans="1:9">
      <c r="A12" s="1" t="s">
        <v>1240</v>
      </c>
      <c r="B12" s="1" t="s">
        <v>125</v>
      </c>
      <c r="C12" s="1" t="s">
        <v>1518</v>
      </c>
      <c r="D12" s="1" t="s">
        <v>1519</v>
      </c>
      <c r="E12" s="1" t="s">
        <v>1520</v>
      </c>
      <c r="F12" s="1" t="s">
        <v>1521</v>
      </c>
      <c r="G12" s="1" t="s">
        <v>1522</v>
      </c>
      <c r="H12" s="1" t="s">
        <v>1523</v>
      </c>
      <c r="I12" s="1" t="s">
        <v>1524</v>
      </c>
    </row>
    <row r="13" spans="1:9">
      <c r="A13" s="1" t="s">
        <v>1164</v>
      </c>
      <c r="B13" s="1" t="s">
        <v>145</v>
      </c>
      <c r="C13" s="1" t="s">
        <v>1525</v>
      </c>
      <c r="D13" s="1" t="s">
        <v>1526</v>
      </c>
      <c r="E13" s="1" t="s">
        <v>148</v>
      </c>
      <c r="F13" s="1" t="s">
        <v>1527</v>
      </c>
      <c r="G13" s="1" t="s">
        <v>154</v>
      </c>
      <c r="H13" s="1" t="s">
        <v>1528</v>
      </c>
      <c r="I13" s="1" t="s">
        <v>161</v>
      </c>
    </row>
    <row r="14" spans="1:9">
      <c r="A14" s="1" t="s">
        <v>1281</v>
      </c>
      <c r="B14" s="1" t="s">
        <v>180</v>
      </c>
      <c r="C14" s="1" t="s">
        <v>1529</v>
      </c>
      <c r="D14" s="1" t="s">
        <v>1530</v>
      </c>
      <c r="E14" s="1" t="s">
        <v>183</v>
      </c>
      <c r="F14" s="1" t="s">
        <v>1531</v>
      </c>
      <c r="G14" s="1" t="s">
        <v>186</v>
      </c>
      <c r="H14" s="1" t="s">
        <v>1532</v>
      </c>
      <c r="I14" s="1" t="s">
        <v>188</v>
      </c>
    </row>
    <row r="15" spans="1:9">
      <c r="A15" s="1" t="s">
        <v>1170</v>
      </c>
      <c r="B15" s="1" t="s">
        <v>189</v>
      </c>
      <c r="C15" s="1" t="s">
        <v>1533</v>
      </c>
      <c r="D15" s="1" t="s">
        <v>1534</v>
      </c>
      <c r="E15" s="1" t="s">
        <v>193</v>
      </c>
      <c r="F15" s="1" t="s">
        <v>1535</v>
      </c>
      <c r="G15" s="1" t="s">
        <v>198</v>
      </c>
      <c r="H15" s="1" t="s">
        <v>1536</v>
      </c>
      <c r="I15" s="1" t="s">
        <v>201</v>
      </c>
    </row>
    <row r="16" spans="1:9">
      <c r="A16" s="1" t="s">
        <v>1215</v>
      </c>
      <c r="B16" s="1" t="s">
        <v>194</v>
      </c>
      <c r="C16" s="1" t="s">
        <v>1537</v>
      </c>
      <c r="D16" s="1" t="s">
        <v>1538</v>
      </c>
      <c r="E16" s="1" t="s">
        <v>197</v>
      </c>
      <c r="F16" s="1" t="s">
        <v>1539</v>
      </c>
      <c r="G16" s="1" t="s">
        <v>908</v>
      </c>
      <c r="H16" s="1" t="s">
        <v>1540</v>
      </c>
      <c r="I16" s="1" t="s">
        <v>973</v>
      </c>
    </row>
    <row r="17" spans="1:9">
      <c r="A17" s="1" t="s">
        <v>1149</v>
      </c>
      <c r="B17" s="1" t="s">
        <v>219</v>
      </c>
      <c r="C17" s="1" t="s">
        <v>1541</v>
      </c>
      <c r="D17" s="1" t="s">
        <v>1542</v>
      </c>
      <c r="E17" s="1" t="s">
        <v>222</v>
      </c>
      <c r="F17" s="1" t="s">
        <v>1543</v>
      </c>
      <c r="G17" s="1" t="s">
        <v>224</v>
      </c>
      <c r="H17" s="1" t="s">
        <v>1544</v>
      </c>
      <c r="I17" s="1" t="s">
        <v>645</v>
      </c>
    </row>
    <row r="18" spans="1:9">
      <c r="A18" s="1" t="s">
        <v>1180</v>
      </c>
      <c r="B18" s="1" t="s">
        <v>248</v>
      </c>
      <c r="C18" s="1" t="s">
        <v>249</v>
      </c>
      <c r="D18" s="1" t="s">
        <v>1545</v>
      </c>
      <c r="E18" s="1" t="s">
        <v>251</v>
      </c>
      <c r="F18" s="1" t="s">
        <v>1546</v>
      </c>
      <c r="G18" s="1" t="s">
        <v>254</v>
      </c>
      <c r="H18" s="1" t="s">
        <v>1547</v>
      </c>
      <c r="I18" s="1" t="s">
        <v>256</v>
      </c>
    </row>
    <row r="19" spans="1:9">
      <c r="A19" s="1" t="s">
        <v>1251</v>
      </c>
      <c r="B19" s="1" t="s">
        <v>262</v>
      </c>
      <c r="C19" s="1" t="s">
        <v>1548</v>
      </c>
      <c r="D19" s="1" t="s">
        <v>1549</v>
      </c>
      <c r="E19" s="1" t="s">
        <v>1550</v>
      </c>
      <c r="F19" s="1" t="s">
        <v>1551</v>
      </c>
      <c r="G19" s="1" t="s">
        <v>1552</v>
      </c>
      <c r="H19" s="1" t="s">
        <v>1553</v>
      </c>
      <c r="I19" s="1" t="s">
        <v>1554</v>
      </c>
    </row>
    <row r="20" spans="1:9">
      <c r="A20" s="1" t="s">
        <v>1218</v>
      </c>
      <c r="B20" s="1" t="s">
        <v>276</v>
      </c>
      <c r="C20" s="1" t="s">
        <v>1555</v>
      </c>
      <c r="D20" s="1" t="s">
        <v>1556</v>
      </c>
      <c r="E20" s="1" t="s">
        <v>1557</v>
      </c>
      <c r="F20" s="1" t="s">
        <v>1558</v>
      </c>
      <c r="G20" s="1" t="s">
        <v>1559</v>
      </c>
      <c r="H20" s="1" t="s">
        <v>1560</v>
      </c>
      <c r="I20" s="1" t="s">
        <v>1561</v>
      </c>
    </row>
    <row r="21" spans="1:9">
      <c r="A21" s="1" t="s">
        <v>1252</v>
      </c>
      <c r="B21" s="1" t="s">
        <v>299</v>
      </c>
      <c r="C21" s="1" t="s">
        <v>1562</v>
      </c>
      <c r="D21" s="1" t="s">
        <v>1563</v>
      </c>
      <c r="E21" s="1" t="s">
        <v>302</v>
      </c>
      <c r="F21" s="1" t="s">
        <v>1419</v>
      </c>
      <c r="G21" s="1" t="s">
        <v>304</v>
      </c>
      <c r="H21" s="1" t="s">
        <v>1564</v>
      </c>
      <c r="I21" s="1" t="s">
        <v>306</v>
      </c>
    </row>
    <row r="22" spans="1:9">
      <c r="A22" s="1" t="s">
        <v>1159</v>
      </c>
      <c r="B22" s="1" t="s">
        <v>312</v>
      </c>
      <c r="C22" s="1" t="s">
        <v>1565</v>
      </c>
      <c r="D22" s="1" t="s">
        <v>1566</v>
      </c>
      <c r="E22" s="1" t="s">
        <v>1567</v>
      </c>
      <c r="F22" s="1" t="s">
        <v>1568</v>
      </c>
      <c r="G22" s="1" t="s">
        <v>917</v>
      </c>
      <c r="H22" s="1" t="s">
        <v>1569</v>
      </c>
      <c r="I22" s="1" t="s">
        <v>1570</v>
      </c>
    </row>
    <row r="23" spans="1:9">
      <c r="A23" s="1" t="s">
        <v>1158</v>
      </c>
      <c r="B23" s="1" t="s">
        <v>318</v>
      </c>
      <c r="C23" s="1" t="s">
        <v>1571</v>
      </c>
      <c r="D23" s="1" t="s">
        <v>1572</v>
      </c>
      <c r="E23" s="1" t="s">
        <v>321</v>
      </c>
      <c r="F23" s="1" t="s">
        <v>1573</v>
      </c>
      <c r="G23" s="1" t="s">
        <v>808</v>
      </c>
      <c r="H23" s="1" t="s">
        <v>1574</v>
      </c>
      <c r="I23" s="1" t="s">
        <v>962</v>
      </c>
    </row>
    <row r="24" spans="1:9">
      <c r="A24" s="1" t="s">
        <v>1207</v>
      </c>
      <c r="B24" s="1" t="s">
        <v>323</v>
      </c>
      <c r="C24" s="1" t="s">
        <v>324</v>
      </c>
      <c r="D24" s="1" t="s">
        <v>1575</v>
      </c>
      <c r="E24" s="1" t="s">
        <v>326</v>
      </c>
      <c r="F24" s="1" t="s">
        <v>1531</v>
      </c>
      <c r="G24" s="1" t="s">
        <v>365</v>
      </c>
      <c r="H24" s="1" t="s">
        <v>1576</v>
      </c>
      <c r="I24" s="1" t="s">
        <v>653</v>
      </c>
    </row>
    <row r="25" spans="1:9">
      <c r="A25" s="1" t="s">
        <v>1205</v>
      </c>
      <c r="B25" s="1" t="s">
        <v>327</v>
      </c>
      <c r="C25" s="1" t="s">
        <v>1577</v>
      </c>
      <c r="D25" s="1" t="s">
        <v>1578</v>
      </c>
      <c r="E25" s="1" t="s">
        <v>330</v>
      </c>
      <c r="F25" s="1" t="s">
        <v>1579</v>
      </c>
      <c r="G25" s="1" t="s">
        <v>342</v>
      </c>
      <c r="H25" s="1" t="s">
        <v>1580</v>
      </c>
      <c r="I25" s="1" t="s">
        <v>345</v>
      </c>
    </row>
    <row r="26" spans="1:9">
      <c r="A26" s="1" t="s">
        <v>1208</v>
      </c>
      <c r="B26" s="1" t="s">
        <v>381</v>
      </c>
      <c r="C26" s="1" t="s">
        <v>1581</v>
      </c>
      <c r="D26" s="1" t="s">
        <v>1582</v>
      </c>
      <c r="E26" s="1" t="s">
        <v>384</v>
      </c>
      <c r="F26" s="1" t="s">
        <v>1583</v>
      </c>
      <c r="G26" s="1" t="s">
        <v>387</v>
      </c>
      <c r="H26" s="1" t="s">
        <v>1584</v>
      </c>
      <c r="I26" s="1" t="s">
        <v>389</v>
      </c>
    </row>
    <row r="27" spans="1:9">
      <c r="A27" s="1" t="s">
        <v>1191</v>
      </c>
      <c r="B27" s="1" t="s">
        <v>398</v>
      </c>
      <c r="C27" s="1" t="s">
        <v>399</v>
      </c>
      <c r="D27" s="1" t="s">
        <v>1585</v>
      </c>
      <c r="E27" s="1" t="s">
        <v>401</v>
      </c>
      <c r="F27" s="1" t="s">
        <v>1586</v>
      </c>
      <c r="G27" s="1" t="s">
        <v>415</v>
      </c>
      <c r="H27" s="1" t="s">
        <v>1587</v>
      </c>
      <c r="I27" s="1" t="s">
        <v>418</v>
      </c>
    </row>
    <row r="28" spans="1:9">
      <c r="A28" s="1" t="s">
        <v>1172</v>
      </c>
      <c r="B28" s="1" t="s">
        <v>422</v>
      </c>
      <c r="C28" s="1" t="s">
        <v>1588</v>
      </c>
      <c r="D28" s="1" t="s">
        <v>1589</v>
      </c>
      <c r="E28" s="1" t="s">
        <v>1590</v>
      </c>
      <c r="F28" s="1" t="s">
        <v>1591</v>
      </c>
      <c r="G28" s="1" t="s">
        <v>1592</v>
      </c>
      <c r="H28" s="1" t="s">
        <v>1593</v>
      </c>
      <c r="I28" s="1" t="s">
        <v>434</v>
      </c>
    </row>
    <row r="29" spans="1:9">
      <c r="A29" s="1" t="s">
        <v>1157</v>
      </c>
      <c r="B29" s="1" t="s">
        <v>441</v>
      </c>
      <c r="C29" s="1" t="s">
        <v>1594</v>
      </c>
      <c r="D29" s="1" t="s">
        <v>1595</v>
      </c>
      <c r="E29" s="1" t="s">
        <v>1596</v>
      </c>
      <c r="F29" s="1" t="s">
        <v>1597</v>
      </c>
      <c r="G29" s="1" t="s">
        <v>1598</v>
      </c>
      <c r="H29" s="1" t="s">
        <v>1597</v>
      </c>
      <c r="I29" s="1" t="s">
        <v>1064</v>
      </c>
    </row>
    <row r="30" spans="1:9">
      <c r="A30" s="1" t="s">
        <v>1254</v>
      </c>
      <c r="B30" s="1" t="s">
        <v>446</v>
      </c>
      <c r="C30" s="1" t="s">
        <v>447</v>
      </c>
      <c r="D30" s="1" t="s">
        <v>1599</v>
      </c>
      <c r="E30" s="1" t="s">
        <v>449</v>
      </c>
      <c r="F30" s="1" t="s">
        <v>1600</v>
      </c>
      <c r="G30" s="1" t="s">
        <v>950</v>
      </c>
      <c r="H30" s="1" t="s">
        <v>1601</v>
      </c>
      <c r="I30" s="1" t="s">
        <v>1144</v>
      </c>
    </row>
    <row r="31" spans="1:9">
      <c r="A31" s="1" t="s">
        <v>1156</v>
      </c>
      <c r="B31" s="1" t="s">
        <v>450</v>
      </c>
      <c r="C31" s="1" t="s">
        <v>1602</v>
      </c>
      <c r="D31" s="1" t="s">
        <v>1603</v>
      </c>
      <c r="E31" s="1" t="s">
        <v>453</v>
      </c>
      <c r="F31" s="1" t="s">
        <v>1604</v>
      </c>
      <c r="G31" s="1" t="s">
        <v>772</v>
      </c>
      <c r="H31" s="1" t="s">
        <v>1605</v>
      </c>
      <c r="I31" s="1" t="s">
        <v>914</v>
      </c>
    </row>
    <row r="32" spans="1:9">
      <c r="A32" s="1" t="s">
        <v>1167</v>
      </c>
      <c r="B32" s="1" t="s">
        <v>455</v>
      </c>
      <c r="C32" s="1" t="s">
        <v>1606</v>
      </c>
      <c r="D32" s="1" t="s">
        <v>1607</v>
      </c>
      <c r="E32" s="1" t="s">
        <v>1608</v>
      </c>
      <c r="F32" s="1" t="s">
        <v>1609</v>
      </c>
      <c r="G32" s="1" t="s">
        <v>637</v>
      </c>
      <c r="H32" s="1" t="s">
        <v>1610</v>
      </c>
      <c r="I32" s="1" t="s">
        <v>639</v>
      </c>
    </row>
    <row r="33" spans="1:9">
      <c r="A33" s="1" t="s">
        <v>1238</v>
      </c>
      <c r="B33" s="1" t="s">
        <v>491</v>
      </c>
      <c r="C33" s="1" t="s">
        <v>1611</v>
      </c>
      <c r="D33" s="1" t="s">
        <v>1612</v>
      </c>
      <c r="E33" s="1" t="s">
        <v>1613</v>
      </c>
      <c r="F33" s="1" t="s">
        <v>1614</v>
      </c>
      <c r="G33" s="1" t="s">
        <v>497</v>
      </c>
      <c r="H33" s="1" t="s">
        <v>1615</v>
      </c>
      <c r="I33" s="1" t="s">
        <v>499</v>
      </c>
    </row>
    <row r="34" spans="1:9">
      <c r="A34" s="1" t="s">
        <v>1169</v>
      </c>
      <c r="B34" s="1" t="s">
        <v>530</v>
      </c>
      <c r="C34" s="1" t="s">
        <v>1616</v>
      </c>
      <c r="D34" s="1" t="s">
        <v>1617</v>
      </c>
      <c r="E34" s="1" t="s">
        <v>1618</v>
      </c>
      <c r="F34" s="1" t="s">
        <v>1619</v>
      </c>
      <c r="G34" s="1" t="s">
        <v>1620</v>
      </c>
      <c r="H34" s="1" t="s">
        <v>1621</v>
      </c>
      <c r="I34" s="1" t="s">
        <v>1622</v>
      </c>
    </row>
    <row r="35" spans="1:9">
      <c r="A35" s="1" t="s">
        <v>1259</v>
      </c>
      <c r="B35" s="1" t="s">
        <v>558</v>
      </c>
      <c r="C35" s="1" t="s">
        <v>1623</v>
      </c>
      <c r="D35" s="1" t="s">
        <v>1624</v>
      </c>
      <c r="E35" s="1" t="s">
        <v>561</v>
      </c>
      <c r="F35" s="1" t="s">
        <v>1625</v>
      </c>
      <c r="G35" s="1" t="s">
        <v>563</v>
      </c>
      <c r="H35" s="1" t="s">
        <v>1626</v>
      </c>
      <c r="I35" s="1" t="s">
        <v>985</v>
      </c>
    </row>
    <row r="36" spans="1:9">
      <c r="A36" s="1" t="s">
        <v>1173</v>
      </c>
      <c r="B36" s="1" t="s">
        <v>584</v>
      </c>
      <c r="C36" s="1" t="s">
        <v>1627</v>
      </c>
      <c r="D36" s="1" t="s">
        <v>1628</v>
      </c>
      <c r="E36" s="1" t="s">
        <v>587</v>
      </c>
      <c r="F36" s="1" t="s">
        <v>1629</v>
      </c>
      <c r="G36" s="1" t="s">
        <v>591</v>
      </c>
      <c r="H36" s="1" t="s">
        <v>1630</v>
      </c>
      <c r="I36" s="1" t="s">
        <v>593</v>
      </c>
    </row>
    <row r="37" spans="1:9">
      <c r="A37" s="1" t="s">
        <v>1175</v>
      </c>
      <c r="B37" s="1" t="s">
        <v>598</v>
      </c>
      <c r="C37" s="1" t="s">
        <v>1631</v>
      </c>
      <c r="D37" s="1" t="s">
        <v>1632</v>
      </c>
      <c r="E37" s="1" t="s">
        <v>601</v>
      </c>
      <c r="F37" s="1" t="s">
        <v>1633</v>
      </c>
      <c r="G37" s="1" t="s">
        <v>634</v>
      </c>
      <c r="H37" s="1" t="s">
        <v>1634</v>
      </c>
      <c r="I37" s="1" t="s">
        <v>682</v>
      </c>
    </row>
    <row r="38" spans="1:9">
      <c r="A38" s="1" t="s">
        <v>1163</v>
      </c>
      <c r="B38" s="1" t="s">
        <v>603</v>
      </c>
      <c r="C38" s="1" t="s">
        <v>1635</v>
      </c>
      <c r="D38" s="1" t="s">
        <v>1636</v>
      </c>
      <c r="E38" s="1" t="s">
        <v>606</v>
      </c>
      <c r="F38" s="1" t="s">
        <v>1637</v>
      </c>
      <c r="G38" s="1" t="s">
        <v>608</v>
      </c>
      <c r="H38" s="1" t="s">
        <v>1638</v>
      </c>
      <c r="I38" s="1" t="s">
        <v>1639</v>
      </c>
    </row>
    <row r="39" spans="1:9">
      <c r="A39" s="1" t="s">
        <v>1162</v>
      </c>
      <c r="B39" s="1" t="s">
        <v>614</v>
      </c>
      <c r="C39" s="1" t="s">
        <v>1640</v>
      </c>
      <c r="D39" s="1" t="s">
        <v>1641</v>
      </c>
      <c r="E39" s="1" t="s">
        <v>1642</v>
      </c>
      <c r="F39" s="1" t="s">
        <v>1643</v>
      </c>
      <c r="G39" s="1" t="s">
        <v>621</v>
      </c>
      <c r="H39" s="1" t="s">
        <v>1644</v>
      </c>
      <c r="I39" s="1" t="s">
        <v>1645</v>
      </c>
    </row>
    <row r="40" spans="1:9">
      <c r="A40" s="1" t="s">
        <v>1210</v>
      </c>
      <c r="B40" s="1" t="s">
        <v>647</v>
      </c>
      <c r="C40" s="1" t="s">
        <v>1646</v>
      </c>
      <c r="D40" s="1" t="s">
        <v>1647</v>
      </c>
      <c r="E40" s="1" t="s">
        <v>1648</v>
      </c>
      <c r="F40" s="1" t="s">
        <v>1649</v>
      </c>
      <c r="G40" s="1" t="s">
        <v>669</v>
      </c>
      <c r="H40" s="1" t="s">
        <v>1650</v>
      </c>
      <c r="I40" s="1" t="s">
        <v>672</v>
      </c>
    </row>
    <row r="41" spans="1:9">
      <c r="A41" s="1" t="s">
        <v>1224</v>
      </c>
      <c r="B41" s="1" t="s">
        <v>717</v>
      </c>
      <c r="C41" s="1" t="s">
        <v>1651</v>
      </c>
      <c r="D41" s="1" t="s">
        <v>1652</v>
      </c>
      <c r="E41" s="1" t="s">
        <v>719</v>
      </c>
      <c r="F41" s="1" t="s">
        <v>1653</v>
      </c>
      <c r="G41" s="1" t="s">
        <v>738</v>
      </c>
      <c r="H41" s="1" t="s">
        <v>1654</v>
      </c>
      <c r="I41" s="1" t="s">
        <v>800</v>
      </c>
    </row>
    <row r="42" spans="1:9">
      <c r="A42" s="1" t="s">
        <v>1204</v>
      </c>
      <c r="B42" s="1" t="s">
        <v>720</v>
      </c>
      <c r="C42" s="1" t="s">
        <v>1655</v>
      </c>
      <c r="D42" s="1" t="s">
        <v>1656</v>
      </c>
      <c r="E42" s="1" t="s">
        <v>723</v>
      </c>
      <c r="F42" s="1" t="s">
        <v>1657</v>
      </c>
      <c r="G42" s="1" t="s">
        <v>726</v>
      </c>
      <c r="H42" s="1" t="s">
        <v>1658</v>
      </c>
      <c r="I42" s="1" t="s">
        <v>1659</v>
      </c>
    </row>
    <row r="43" spans="1:9">
      <c r="A43" s="1" t="s">
        <v>1201</v>
      </c>
      <c r="B43" s="1" t="s">
        <v>742</v>
      </c>
      <c r="C43" s="1" t="s">
        <v>1660</v>
      </c>
      <c r="D43" s="1" t="s">
        <v>1647</v>
      </c>
      <c r="E43" s="1" t="s">
        <v>1661</v>
      </c>
      <c r="F43" s="1" t="s">
        <v>1662</v>
      </c>
      <c r="G43" s="1" t="s">
        <v>782</v>
      </c>
      <c r="H43" s="1" t="s">
        <v>1663</v>
      </c>
      <c r="I43" s="1" t="s">
        <v>1664</v>
      </c>
    </row>
    <row r="44" spans="1:9">
      <c r="A44" s="1" t="s">
        <v>1198</v>
      </c>
      <c r="B44" s="1" t="s">
        <v>749</v>
      </c>
      <c r="C44" s="1" t="s">
        <v>1665</v>
      </c>
      <c r="D44" s="1" t="s">
        <v>1666</v>
      </c>
      <c r="E44" s="1" t="s">
        <v>752</v>
      </c>
      <c r="F44" s="1" t="s">
        <v>1667</v>
      </c>
      <c r="G44" s="1" t="s">
        <v>754</v>
      </c>
      <c r="H44" s="1" t="s">
        <v>1668</v>
      </c>
      <c r="I44" s="1" t="s">
        <v>756</v>
      </c>
    </row>
    <row r="45" spans="1:9">
      <c r="A45" s="1" t="s">
        <v>1166</v>
      </c>
      <c r="B45" s="1" t="s">
        <v>759</v>
      </c>
      <c r="C45" s="1" t="s">
        <v>1669</v>
      </c>
      <c r="D45" s="1" t="s">
        <v>1670</v>
      </c>
      <c r="E45" s="1" t="s">
        <v>762</v>
      </c>
      <c r="F45" s="1" t="s">
        <v>1671</v>
      </c>
      <c r="G45" s="1" t="s">
        <v>765</v>
      </c>
      <c r="H45" s="1" t="s">
        <v>1672</v>
      </c>
      <c r="I45" s="1" t="s">
        <v>785</v>
      </c>
    </row>
    <row r="46" spans="1:9">
      <c r="A46" s="1" t="s">
        <v>1209</v>
      </c>
      <c r="B46" s="1" t="s">
        <v>795</v>
      </c>
      <c r="C46" s="1" t="s">
        <v>1673</v>
      </c>
      <c r="D46" s="1" t="s">
        <v>1674</v>
      </c>
      <c r="E46" s="1" t="s">
        <v>1675</v>
      </c>
      <c r="F46" s="1" t="s">
        <v>1676</v>
      </c>
      <c r="G46" s="1" t="s">
        <v>1061</v>
      </c>
      <c r="H46" s="1" t="s">
        <v>1677</v>
      </c>
      <c r="I46" s="1" t="s">
        <v>1079</v>
      </c>
    </row>
    <row r="47" spans="1:9">
      <c r="A47" s="1" t="s">
        <v>1214</v>
      </c>
      <c r="B47" s="1" t="s">
        <v>811</v>
      </c>
      <c r="C47" s="1" t="s">
        <v>1678</v>
      </c>
      <c r="D47" s="1" t="s">
        <v>1679</v>
      </c>
      <c r="E47" s="1" t="s">
        <v>814</v>
      </c>
      <c r="F47" s="1" t="s">
        <v>1680</v>
      </c>
      <c r="G47" s="1" t="s">
        <v>932</v>
      </c>
      <c r="H47" s="1" t="s">
        <v>1681</v>
      </c>
      <c r="I47" s="1" t="s">
        <v>1044</v>
      </c>
    </row>
    <row r="48" spans="1:9">
      <c r="A48" s="1" t="s">
        <v>1203</v>
      </c>
      <c r="B48" s="1" t="s">
        <v>833</v>
      </c>
      <c r="C48" s="1" t="s">
        <v>1682</v>
      </c>
      <c r="D48" s="1" t="s">
        <v>1683</v>
      </c>
      <c r="E48" s="1" t="s">
        <v>836</v>
      </c>
      <c r="F48" s="1" t="s">
        <v>1684</v>
      </c>
      <c r="G48" s="1" t="s">
        <v>1685</v>
      </c>
      <c r="H48" s="1" t="s">
        <v>1686</v>
      </c>
      <c r="I48" s="1" t="s">
        <v>1687</v>
      </c>
    </row>
    <row r="49" spans="1:9">
      <c r="A49" s="1" t="s">
        <v>1242</v>
      </c>
      <c r="B49" s="1" t="s">
        <v>925</v>
      </c>
      <c r="C49" s="1" t="s">
        <v>926</v>
      </c>
      <c r="D49" s="1" t="s">
        <v>1688</v>
      </c>
      <c r="E49" s="1" t="s">
        <v>927</v>
      </c>
      <c r="F49" s="1" t="s">
        <v>1689</v>
      </c>
      <c r="G49" s="1" t="s">
        <v>929</v>
      </c>
      <c r="H49" s="1" t="s">
        <v>1481</v>
      </c>
      <c r="I49" s="1" t="s">
        <v>930</v>
      </c>
    </row>
    <row r="50" spans="1:9">
      <c r="A50" s="1" t="s">
        <v>1261</v>
      </c>
      <c r="B50" s="1" t="s">
        <v>977</v>
      </c>
      <c r="C50" s="1" t="s">
        <v>978</v>
      </c>
      <c r="D50" s="1" t="s">
        <v>1690</v>
      </c>
      <c r="E50" s="1" t="s">
        <v>979</v>
      </c>
      <c r="F50" s="1" t="s">
        <v>1691</v>
      </c>
      <c r="G50" s="1" t="s">
        <v>1075</v>
      </c>
      <c r="H50" s="1" t="s">
        <v>1692</v>
      </c>
      <c r="I50" s="1" t="s">
        <v>1077</v>
      </c>
    </row>
    <row r="51" spans="1:9">
      <c r="A51" s="1" t="s">
        <v>1152</v>
      </c>
      <c r="B51" s="1" t="s">
        <v>1010</v>
      </c>
      <c r="C51" s="1" t="s">
        <v>1693</v>
      </c>
      <c r="D51" s="1" t="s">
        <v>1694</v>
      </c>
      <c r="E51" s="1" t="s">
        <v>1013</v>
      </c>
      <c r="F51" s="1" t="s">
        <v>1695</v>
      </c>
      <c r="G51" s="1" t="s">
        <v>1017</v>
      </c>
      <c r="H51" s="1" t="s">
        <v>1696</v>
      </c>
      <c r="I51" s="1" t="s">
        <v>1051</v>
      </c>
    </row>
    <row r="52" spans="1:9">
      <c r="A52" s="1" t="s">
        <v>1160</v>
      </c>
      <c r="B52" s="1" t="s">
        <v>1054</v>
      </c>
      <c r="C52" s="1" t="s">
        <v>1697</v>
      </c>
      <c r="D52" s="1" t="s">
        <v>1698</v>
      </c>
      <c r="E52" s="1" t="s">
        <v>1057</v>
      </c>
      <c r="F52" s="1" t="s">
        <v>1699</v>
      </c>
      <c r="G52" s="1" t="s">
        <v>1066</v>
      </c>
      <c r="H52" s="1" t="s">
        <v>1700</v>
      </c>
      <c r="I52" s="1" t="s">
        <v>1069</v>
      </c>
    </row>
    <row r="53" spans="1:9">
      <c r="A53" s="1" t="s">
        <v>1199</v>
      </c>
      <c r="B53" s="1" t="s">
        <v>1080</v>
      </c>
      <c r="C53" s="1" t="s">
        <v>1701</v>
      </c>
      <c r="D53" s="1" t="s">
        <v>1702</v>
      </c>
      <c r="E53" s="1" t="s">
        <v>1083</v>
      </c>
      <c r="F53" s="1" t="s">
        <v>1703</v>
      </c>
      <c r="G53" s="1" t="s">
        <v>1085</v>
      </c>
      <c r="H53" s="1" t="s">
        <v>1704</v>
      </c>
      <c r="I53" s="1" t="s">
        <v>1705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报名明细</vt:lpstr>
      <vt:lpstr>展区展位</vt:lpstr>
      <vt:lpstr>长度要求</vt:lpstr>
      <vt:lpstr>企业简介提取</vt:lpstr>
      <vt:lpstr>岗位1</vt:lpstr>
      <vt:lpstr>岗位2</vt:lpstr>
      <vt:lpstr>岗位3</vt:lpstr>
      <vt:lpstr>2</vt:lpstr>
      <vt:lpstr>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cp:lastModifiedBy>
  <dcterms:created xsi:type="dcterms:W3CDTF">2025-04-09T08:35:00Z</dcterms:created>
  <dcterms:modified xsi:type="dcterms:W3CDTF">2026-05-10T03:12:04Z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A77429C5C1694B908D449FF3AC7EF993_12</vt:lpwstr>
  </property>
  <property fmtid="{D5CDD505-2E9C-101B-9397-08002B2CF9AE}" pid="4" name="CalculationRule">
    <vt:i4>0</vt:i4>
  </property>
</Properties>
</file>